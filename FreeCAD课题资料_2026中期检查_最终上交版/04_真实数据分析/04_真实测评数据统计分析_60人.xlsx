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5f7d5a2469b423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原始数据" sheetId="1" r:id="R62611b6563644368"/>
    <x:sheet xmlns:r="http://schemas.openxmlformats.org/officeDocument/2006/relationships" name="数据说明" sheetId="2" r:id="Raf06cb90c7384362"/>
    <x:sheet xmlns:r="http://schemas.openxmlformats.org/officeDocument/2006/relationships" name="统计分析" sheetId="3" r:id="R23b48a635b414bf9"/>
    <x:sheet xmlns:r="http://schemas.openxmlformats.org/officeDocument/2006/relationships" name="结果摘要" sheetId="4" r:id="R1461e38b4f6d402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"/>
  </x:numFmts>
  <x:fonts count="10">
    <x:font>
      <x:sz val="11"/>
      <x:name val="Carlito"/>
    </x:font>
    <x:font>
      <x:sz val="10"/>
      <x:color rgb="FF1F2937"/>
      <x:name val="Microsoft YaHei"/>
    </x:font>
    <x:font>
      <x:b/>
      <x:sz val="10"/>
      <x:color rgb="FFFFFFFF"/>
      <x:name val="Microsoft YaHei"/>
    </x:font>
    <x:font>
      <x:b/>
      <x:sz val="20"/>
      <x:color rgb="FFFFFFFF"/>
      <x:name val="Microsoft YaHei"/>
    </x:font>
    <x:font>
      <x:b/>
      <x:sz val="10"/>
      <x:color rgb="FF315B78"/>
      <x:name val="Microsoft YaHei"/>
    </x:font>
    <x:font>
      <x:b/>
      <x:sz val="11"/>
      <x:color rgb="FF315B78"/>
      <x:name val="Microsoft YaHei"/>
    </x:font>
    <x:font>
      <x:b/>
      <x:sz val="10"/>
      <x:color rgb="FF1F2937"/>
      <x:name val="Microsoft YaHei"/>
    </x:font>
    <x:font>
      <x:b/>
      <x:sz val="11"/>
      <x:color rgb="FF1F2937"/>
      <x:name val="Microsoft YaHei"/>
    </x:font>
    <x:font>
      <x:sz val="11"/>
      <x:color rgb="FF1F2937"/>
      <x:name val="Microsoft YaHei"/>
    </x:font>
    <x:font>
      <x:sz val="11"/>
      <x:color rgb="FF334155"/>
      <x:name val="Microsoft YaHei"/>
    </x:font>
  </x:fonts>
  <x:fills count="5">
    <x:fill>
      <x:patternFill patternType="none"/>
    </x:fill>
    <x:fill>
      <x:patternFill patternType="gray125"/>
    </x:fill>
    <x:fill>
      <x:patternFill patternType="solid">
        <x:fgColor rgb="FF315B78"/>
      </x:patternFill>
    </x:fill>
    <x:fill>
      <x:patternFill patternType="solid">
        <x:fgColor rgb="FFEAF2F7"/>
      </x:patternFill>
    </x:fill>
    <x:fill>
      <x:patternFill patternType="solid">
        <x:fgColor rgb="FFF4F6F9"/>
      </x:patternFill>
    </x:fill>
  </x:fills>
  <x:borders count="10">
    <x:border/>
    <x:border/>
    <x:border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top style="thin">
        <x:color rgb="FFE5E7EB"/>
      </x:top>
      <x:bottom style="thin">
        <x:color rgb="FFD1D5DB"/>
      </x:bottom>
    </x:border>
    <x:border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top style="thin">
        <x:color rgb="FFE5E7EB"/>
      </x:top>
      <x:bottom style="thin">
        <x:color rgb="FFD1D5DB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27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/>
    <x:xf numFmtId="200" fontId="1" fillId="0" borderId="1" xfId="0" applyNumberFormat="1" applyFont="1" applyFill="1" applyBorder="1"/>
    <x:xf numFmtId="200" fontId="1" fillId="2" borderId="0" xfId="0" applyNumberFormat="1" applyFont="1" applyFill="1" applyBorder="1"/>
    <x:xf numFmtId="200" fontId="1" fillId="2" borderId="1" xfId="0" applyNumberFormat="1" applyFont="1" applyFill="1" applyBorder="1"/>
    <x:xf numFmtId="200" fontId="2" fillId="2" borderId="0" xfId="0" applyNumberFormat="1" applyFont="1" applyFill="1" applyBorder="1"/>
    <x:xf numFmtId="200" fontId="2" fillId="2" borderId="1" xfId="0" applyNumberFormat="1" applyFont="1" applyFill="1" applyBorder="1"/>
    <x:xf numFmtId="200" fontId="2" fillId="2" borderId="0" xfId="0" applyNumberFormat="1" applyFont="1" applyFill="1" applyBorder="1" applyAlignment="1">
      <x:alignment horizontal="center"/>
    </x:xf>
    <x:xf numFmtId="200" fontId="2" fillId="2" borderId="1" xfId="0" applyNumberFormat="1" applyFont="1" applyFill="1" applyBorder="1" applyAlignment="1">
      <x:alignment horizontal="center"/>
    </x:xf>
    <x:xf numFmtId="200" fontId="1" fillId="0" borderId="0" xfId="0" applyNumberFormat="1" applyFont="1" applyFill="1" applyBorder="1" applyAlignment="1">
      <x:alignment vertical="center"/>
    </x:xf>
    <x:xf numFmtId="200" fontId="1" fillId="0" borderId="1" xfId="0" applyNumberFormat="1" applyFont="1" applyFill="1" applyBorder="1" applyAlignment="1">
      <x:alignment vertical="center"/>
    </x:xf>
    <x:xf numFmtId="0" fontId="2" fillId="2" borderId="2" xfId="0" applyNumberFormat="1" applyFont="1" applyFill="1" applyBorder="1" applyAlignment="1">
      <x:alignment horizontal="center" vertical="center"/>
    </x:xf>
    <x:xf numFmtId="200" fontId="2" fillId="2" borderId="2" xfId="0" applyNumberFormat="1" applyFont="1" applyFill="1" applyBorder="1" applyAlignment="1">
      <x:alignment horizontal="center"/>
    </x:xf>
    <x:xf numFmtId="0" fontId="1" fillId="0" borderId="3" xfId="0" applyNumberFormat="1" applyFont="1" applyFill="1" applyBorder="1" applyAlignment="1">
      <x:alignment vertical="center"/>
    </x:xf>
    <x:xf numFmtId="200" fontId="1" fillId="0" borderId="3" xfId="0" applyNumberFormat="1" applyFont="1" applyFill="1" applyBorder="1" applyAlignment="1">
      <x:alignment vertical="center"/>
    </x:xf>
    <x:xf numFmtId="200" fontId="1" fillId="0" borderId="3" xfId="0" applyNumberFormat="1" applyFont="1" applyFill="1" applyBorder="1"/>
    <x:xf numFmtId="0" fontId="1" fillId="0" borderId="4" xfId="0" applyNumberFormat="1" applyFont="1" applyFill="1" applyBorder="1" applyAlignment="1">
      <x:alignment vertical="center"/>
    </x:xf>
    <x:xf numFmtId="200" fontId="1" fillId="0" borderId="4" xfId="0" applyNumberFormat="1" applyFont="1" applyFill="1" applyBorder="1" applyAlignment="1">
      <x:alignment vertical="center"/>
    </x:xf>
    <x:xf numFmtId="200" fontId="1" fillId="0" borderId="4" xfId="0" applyNumberFormat="1" applyFont="1" applyFill="1" applyBorder="1"/>
    <x:xf numFmtId="0" fontId="2" fillId="2" borderId="5" xfId="0" applyNumberFormat="1" applyFont="1" applyFill="1" applyBorder="1" applyAlignment="1">
      <x:alignment horizontal="center" vertical="center"/>
    </x:xf>
    <x:xf numFmtId="200" fontId="2" fillId="2" borderId="5" xfId="0" applyNumberFormat="1" applyFont="1" applyFill="1" applyBorder="1" applyAlignment="1">
      <x:alignment horizontal="center"/>
    </x:xf>
    <x:xf numFmtId="0" fontId="1" fillId="0" borderId="6" xfId="0" applyNumberFormat="1" applyFont="1" applyFill="1" applyBorder="1" applyAlignment="1">
      <x:alignment vertical="center"/>
    </x:xf>
    <x:xf numFmtId="200" fontId="1" fillId="0" borderId="6" xfId="0" applyNumberFormat="1" applyFont="1" applyFill="1" applyBorder="1" applyAlignment="1">
      <x:alignment vertical="center"/>
    </x:xf>
    <x:xf numFmtId="200" fontId="1" fillId="0" borderId="6" xfId="0" applyNumberFormat="1" applyFont="1" applyFill="1" applyBorder="1"/>
    <x:xf numFmtId="0" fontId="1" fillId="0" borderId="7" xfId="0" applyNumberFormat="1" applyFont="1" applyFill="1" applyBorder="1" applyAlignment="1">
      <x:alignment vertical="center"/>
    </x:xf>
    <x:xf numFmtId="200" fontId="1" fillId="0" borderId="7" xfId="0" applyNumberFormat="1" applyFont="1" applyFill="1" applyBorder="1" applyAlignment="1">
      <x:alignment vertical="center"/>
    </x:xf>
    <x:xf numFmtId="200" fontId="1" fillId="0" borderId="7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3" fillId="2" borderId="1" xfId="0" applyNumberFormat="1" applyFont="1" applyFill="1" applyBorder="1" applyAlignment="1">
      <x:alignment horizontal="center" vertical="center"/>
    </x:xf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4" fillId="3" borderId="0" xfId="0" applyNumberFormat="1" applyFont="1" applyFill="1" applyBorder="1"/>
    <x:xf numFmtId="0" fontId="4" fillId="3" borderId="1" xfId="0" applyNumberFormat="1" applyFont="1" applyFill="1" applyBorder="1"/>
    <x:xf numFmtId="0" fontId="2" fillId="2" borderId="8" xfId="0" applyNumberFormat="1" applyFont="1" applyFill="1" applyBorder="1"/>
    <x:xf numFmtId="0" fontId="4" fillId="3" borderId="8" xfId="0" applyNumberFormat="1" applyFont="1" applyFill="1" applyBorder="1"/>
    <x:xf numFmtId="0" fontId="0" fillId="0" borderId="8" xfId="0" applyNumberFormat="1" applyFont="1" applyFill="1" applyBorder="1"/>
    <x:xf numFmtId="0" fontId="2" fillId="2" borderId="9" xfId="0" applyNumberFormat="1" applyFont="1" applyFill="1" applyBorder="1"/>
    <x:xf numFmtId="0" fontId="4" fillId="3" borderId="9" xfId="0" applyNumberFormat="1" applyFont="1" applyFill="1" applyBorder="1"/>
    <x:xf numFmtId="0" fontId="0" fillId="0" borderId="9" xfId="0" applyNumberFormat="1" applyFont="1" applyFill="1" applyBorder="1"/>
    <x:xf numFmtId="0" fontId="2" fillId="2" borderId="8" xfId="0" applyNumberFormat="1" applyFont="1" applyFill="1" applyBorder="1" applyAlignment="1">
      <x:alignment vertical="center"/>
    </x:xf>
    <x:xf numFmtId="0" fontId="4" fillId="3" borderId="8" xfId="0" applyNumberFormat="1" applyFont="1" applyFill="1" applyBorder="1" applyAlignment="1">
      <x:alignment vertical="center"/>
    </x:xf>
    <x:xf numFmtId="0" fontId="0" fillId="0" borderId="8" xfId="0" applyNumberFormat="1" applyFont="1" applyFill="1" applyBorder="1" applyAlignment="1">
      <x:alignment vertical="center"/>
    </x:xf>
    <x:xf numFmtId="0" fontId="2" fillId="2" borderId="9" xfId="0" applyNumberFormat="1" applyFont="1" applyFill="1" applyBorder="1" applyAlignment="1">
      <x:alignment vertical="center"/>
    </x:xf>
    <x:xf numFmtId="0" fontId="4" fillId="3" borderId="9" xfId="0" applyNumberFormat="1" applyFont="1" applyFill="1" applyBorder="1" applyAlignment="1">
      <x:alignment vertical="center"/>
    </x:xf>
    <x:xf numFmtId="0" fontId="0" fillId="0" borderId="9" xfId="0" applyNumberFormat="1" applyFont="1" applyFill="1" applyBorder="1" applyAlignment="1">
      <x:alignment vertical="center"/>
    </x:xf>
    <x:xf numFmtId="0" fontId="2" fillId="2" borderId="8" xfId="0" applyNumberFormat="1" applyFont="1" applyFill="1" applyBorder="1" applyAlignment="1">
      <x:alignment vertical="center" wrapText="1"/>
    </x:xf>
    <x:xf numFmtId="0" fontId="4" fillId="3" borderId="8" xfId="0" applyNumberFormat="1" applyFont="1" applyFill="1" applyBorder="1" applyAlignment="1">
      <x:alignment vertical="center" wrapText="1"/>
    </x:xf>
    <x:xf numFmtId="0" fontId="0" fillId="0" borderId="8" xfId="0" applyNumberFormat="1" applyFont="1" applyFill="1" applyBorder="1" applyAlignment="1">
      <x:alignment vertical="center" wrapText="1"/>
    </x:xf>
    <x:xf numFmtId="0" fontId="2" fillId="2" borderId="9" xfId="0" applyNumberFormat="1" applyFont="1" applyFill="1" applyBorder="1" applyAlignment="1">
      <x:alignment vertical="center" wrapText="1"/>
    </x:xf>
    <x:xf numFmtId="0" fontId="4" fillId="3" borderId="9" xfId="0" applyNumberFormat="1" applyFont="1" applyFill="1" applyBorder="1" applyAlignment="1">
      <x:alignment vertical="center" wrapText="1"/>
    </x:xf>
    <x:xf numFmtId="0" fontId="0" fillId="0" borderId="9" xfId="0" applyNumberFormat="1" applyFont="1" applyFill="1" applyBorder="1" applyAlignment="1">
      <x:alignment vertical="center" wrapText="1"/>
    </x:xf>
    <x:xf numFmtId="0" fontId="0" fillId="2" borderId="8" xfId="0" applyNumberFormat="1" applyFont="1" applyFill="1" applyBorder="1" applyAlignment="1">
      <x:alignment vertical="center"/>
    </x:xf>
    <x:xf numFmtId="0" fontId="0" fillId="2" borderId="9" xfId="0" applyNumberFormat="1" applyFont="1" applyFill="1" applyBorder="1" applyAlignment="1">
      <x:alignment vertical="center"/>
    </x:xf>
    <x:xf numFmtId="0" fontId="2" fillId="2" borderId="8" xfId="0" applyNumberFormat="1" applyFont="1" applyFill="1" applyBorder="1" applyAlignment="1">
      <x:alignment horizontal="center" vertical="center"/>
    </x:xf>
    <x:xf numFmtId="0" fontId="2" fillId="2" borderId="9" xfId="0" applyNumberFormat="1" applyFont="1" applyFill="1" applyBorder="1" applyAlignment="1">
      <x:alignment horizontal="center" vertical="center"/>
    </x:xf>
    <x:xf numFmtId="0" fontId="5" fillId="0" borderId="8" xfId="0" applyNumberFormat="1" applyFont="1" applyFill="1" applyBorder="1" applyAlignment="1">
      <x:alignment vertical="center"/>
    </x:xf>
    <x:xf numFmtId="0" fontId="5" fillId="0" borderId="9" xfId="0" applyNumberFormat="1" applyFont="1" applyFill="1" applyBorder="1" applyAlignment="1">
      <x:alignment vertical="center"/>
    </x:xf>
    <x:xf numFmtId="0" fontId="0" fillId="3" borderId="8" xfId="0" applyNumberFormat="1" applyFont="1" applyFill="1" applyBorder="1" applyAlignment="1">
      <x:alignment vertical="center"/>
    </x:xf>
    <x:xf numFmtId="0" fontId="0" fillId="3" borderId="9" xfId="0" applyNumberFormat="1" applyFont="1" applyFill="1" applyBorder="1" applyAlignment="1">
      <x:alignment vertical="center"/>
    </x:xf>
    <x:xf numFmtId="0" fontId="5" fillId="3" borderId="8" xfId="0" applyNumberFormat="1" applyFont="1" applyFill="1" applyBorder="1" applyAlignment="1">
      <x:alignment vertical="center"/>
    </x:xf>
    <x:xf numFmtId="0" fontId="5" fillId="3" borderId="9" xfId="0" applyNumberFormat="1" applyFont="1" applyFill="1" applyBorder="1" applyAlignment="1">
      <x:alignment vertical="center"/>
    </x:xf>
    <x:xf numFmtId="200" fontId="0" fillId="0" borderId="8" xfId="0" applyNumberFormat="1" applyFont="1" applyFill="1" applyBorder="1" applyAlignment="1">
      <x:alignment vertical="center"/>
    </x:xf>
    <x:xf numFmtId="200" fontId="0" fillId="0" borderId="9" xfId="0" applyNumberFormat="1" applyFont="1" applyFill="1" applyBorder="1" applyAlignment="1">
      <x:alignment vertical="center"/>
    </x:xf>
    <x:xf numFmtId="0" fontId="6" fillId="2" borderId="8" xfId="0" applyNumberFormat="1" applyFont="1" applyFill="1" applyBorder="1" applyAlignment="1">
      <x:alignment horizontal="center" vertical="center"/>
    </x:xf>
    <x:xf numFmtId="0" fontId="6" fillId="0" borderId="8" xfId="0" applyNumberFormat="1" applyFont="1" applyFill="1" applyBorder="1" applyAlignment="1">
      <x:alignment vertical="center"/>
    </x:xf>
    <x:xf numFmtId="200" fontId="1" fillId="0" borderId="8" xfId="0" applyNumberFormat="1" applyFont="1" applyFill="1" applyBorder="1" applyAlignment="1">
      <x:alignment vertical="center"/>
    </x:xf>
    <x:xf numFmtId="0" fontId="6" fillId="3" borderId="8" xfId="0" applyNumberFormat="1" applyFont="1" applyFill="1" applyBorder="1" applyAlignment="1">
      <x:alignment vertical="center"/>
    </x:xf>
    <x:xf numFmtId="0" fontId="1" fillId="0" borderId="8" xfId="0" applyNumberFormat="1" applyFont="1" applyFill="1" applyBorder="1" applyAlignment="1">
      <x:alignment vertical="center"/>
    </x:xf>
    <x:xf numFmtId="0" fontId="6" fillId="2" borderId="9" xfId="0" applyNumberFormat="1" applyFont="1" applyFill="1" applyBorder="1" applyAlignment="1">
      <x:alignment horizontal="center" vertical="center"/>
    </x:xf>
    <x:xf numFmtId="0" fontId="6" fillId="0" borderId="9" xfId="0" applyNumberFormat="1" applyFont="1" applyFill="1" applyBorder="1" applyAlignment="1">
      <x:alignment vertical="center"/>
    </x:xf>
    <x:xf numFmtId="200" fontId="1" fillId="0" borderId="9" xfId="0" applyNumberFormat="1" applyFont="1" applyFill="1" applyBorder="1" applyAlignment="1">
      <x:alignment vertical="center"/>
    </x:xf>
    <x:xf numFmtId="0" fontId="6" fillId="3" borderId="9" xfId="0" applyNumberFormat="1" applyFont="1" applyFill="1" applyBorder="1" applyAlignment="1">
      <x:alignment vertical="center"/>
    </x:xf>
    <x:xf numFmtId="0" fontId="1" fillId="0" borderId="9" xfId="0" applyNumberFormat="1" applyFont="1" applyFill="1" applyBorder="1" applyAlignment="1">
      <x:alignment vertical="center"/>
    </x:xf>
    <x:xf numFmtId="0" fontId="0" fillId="2" borderId="8" xfId="0" applyNumberFormat="1" applyFont="1" applyFill="1" applyBorder="1"/>
    <x:xf numFmtId="0" fontId="0" fillId="2" borderId="9" xfId="0" applyNumberFormat="1" applyFont="1" applyFill="1" applyBorder="1"/>
    <x:xf numFmtId="0" fontId="2" fillId="2" borderId="8" xfId="0" applyNumberFormat="1" applyFont="1" applyFill="1" applyBorder="1" applyAlignment="1">
      <x:alignment horizontal="center"/>
    </x:xf>
    <x:xf numFmtId="0" fontId="2" fillId="2" borderId="9" xfId="0" applyNumberFormat="1" applyFont="1" applyFill="1" applyBorder="1" applyAlignment="1">
      <x:alignment horizontal="center"/>
    </x:xf>
    <x:xf numFmtId="0" fontId="0" fillId="3" borderId="8" xfId="0" applyNumberFormat="1" applyFont="1" applyFill="1" applyBorder="1"/>
    <x:xf numFmtId="0" fontId="0" fillId="3" borderId="9" xfId="0" applyNumberFormat="1" applyFont="1" applyFill="1" applyBorder="1"/>
    <x:xf numFmtId="0" fontId="5" fillId="3" borderId="8" xfId="0" applyNumberFormat="1" applyFont="1" applyFill="1" applyBorder="1"/>
    <x:xf numFmtId="0" fontId="5" fillId="3" borderId="9" xfId="0" applyNumberFormat="1" applyFont="1" applyFill="1" applyBorder="1"/>
    <x:xf numFmtId="200" fontId="0" fillId="0" borderId="8" xfId="0" applyNumberFormat="1" applyFont="1" applyFill="1" applyBorder="1"/>
    <x:xf numFmtId="200" fontId="0" fillId="0" borderId="9" xfId="0" applyNumberFormat="1" applyFont="1" applyFill="1" applyBorder="1"/>
    <x:xf numFmtId="0" fontId="7" fillId="2" borderId="8" xfId="0" applyNumberFormat="1" applyFont="1" applyFill="1" applyBorder="1" applyAlignment="1">
      <x:alignment horizontal="center"/>
    </x:xf>
    <x:xf numFmtId="0" fontId="8" fillId="0" borderId="0" xfId="0" applyNumberFormat="1" applyFont="1" applyFill="1" applyBorder="1"/>
    <x:xf numFmtId="0" fontId="7" fillId="3" borderId="8" xfId="0" applyNumberFormat="1" applyFont="1" applyFill="1" applyBorder="1"/>
    <x:xf numFmtId="0" fontId="8" fillId="0" borderId="8" xfId="0" applyNumberFormat="1" applyFont="1" applyFill="1" applyBorder="1"/>
    <x:xf numFmtId="200" fontId="8" fillId="0" borderId="8" xfId="0" applyNumberFormat="1" applyFont="1" applyFill="1" applyBorder="1"/>
    <x:xf numFmtId="0" fontId="7" fillId="2" borderId="9" xfId="0" applyNumberFormat="1" applyFont="1" applyFill="1" applyBorder="1" applyAlignment="1">
      <x:alignment horizontal="center"/>
    </x:xf>
    <x:xf numFmtId="0" fontId="8" fillId="0" borderId="1" xfId="0" applyNumberFormat="1" applyFont="1" applyFill="1" applyBorder="1"/>
    <x:xf numFmtId="0" fontId="7" fillId="3" borderId="9" xfId="0" applyNumberFormat="1" applyFont="1" applyFill="1" applyBorder="1"/>
    <x:xf numFmtId="0" fontId="8" fillId="0" borderId="9" xfId="0" applyNumberFormat="1" applyFont="1" applyFill="1" applyBorder="1"/>
    <x:xf numFmtId="200" fontId="8" fillId="0" borderId="9" xfId="0" applyNumberFormat="1" applyFont="1" applyFill="1" applyBorder="1"/>
    <x:xf numFmtId="0" fontId="8" fillId="0" borderId="0" xfId="0" applyNumberFormat="1" applyFont="1" applyFill="1" applyBorder="1" applyAlignment="1">
      <x:alignment vertical="center"/>
    </x:xf>
    <x:xf numFmtId="0" fontId="7" fillId="3" borderId="8" xfId="0" applyNumberFormat="1" applyFont="1" applyFill="1" applyBorder="1" applyAlignment="1">
      <x:alignment vertical="center"/>
    </x:xf>
    <x:xf numFmtId="0" fontId="8" fillId="0" borderId="8" xfId="0" applyNumberFormat="1" applyFont="1" applyFill="1" applyBorder="1" applyAlignment="1">
      <x:alignment vertical="center"/>
    </x:xf>
    <x:xf numFmtId="200" fontId="8" fillId="0" borderId="8" xfId="0" applyNumberFormat="1" applyFont="1" applyFill="1" applyBorder="1" applyAlignment="1">
      <x:alignment vertical="center"/>
    </x:xf>
    <x:xf numFmtId="0" fontId="8" fillId="0" borderId="1" xfId="0" applyNumberFormat="1" applyFont="1" applyFill="1" applyBorder="1" applyAlignment="1">
      <x:alignment vertical="center"/>
    </x:xf>
    <x:xf numFmtId="0" fontId="7" fillId="3" borderId="9" xfId="0" applyNumberFormat="1" applyFont="1" applyFill="1" applyBorder="1" applyAlignment="1">
      <x:alignment vertical="center"/>
    </x:xf>
    <x:xf numFmtId="0" fontId="8" fillId="0" borderId="9" xfId="0" applyNumberFormat="1" applyFont="1" applyFill="1" applyBorder="1" applyAlignment="1">
      <x:alignment vertical="center"/>
    </x:xf>
    <x:xf numFmtId="200" fontId="8" fillId="0" borderId="9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9" fillId="4" borderId="0" xfId="0" applyNumberFormat="1" applyFont="1" applyFill="1" applyBorder="1"/>
    <x:xf numFmtId="0" fontId="9" fillId="4" borderId="1" xfId="0" applyNumberFormat="1" applyFont="1" applyFill="1" applyBorder="1"/>
    <x:xf numFmtId="0" fontId="9" fillId="4" borderId="0" xfId="0" applyNumberFormat="1" applyFont="1" applyFill="1" applyBorder="1" applyAlignment="1">
      <x:alignment wrapText="1"/>
    </x:xf>
    <x:xf numFmtId="0" fontId="9" fillId="4" borderId="1" xfId="0" applyNumberFormat="1" applyFont="1" applyFill="1" applyBorder="1" applyAlignment="1">
      <x:alignment wrapText="1"/>
    </x:xf>
    <x:xf numFmtId="0" fontId="9" fillId="4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06541034dff467e" /><Relationship Type="http://schemas.openxmlformats.org/officeDocument/2006/relationships/theme" Target="/xl/theme/theme1.xml" Id="Re510792278584cba" /><Relationship Type="http://schemas.openxmlformats.org/officeDocument/2006/relationships/sharedStrings" Target="/xl/sharedStrings.xml" Id="Rd0dc6d2b411b46c1" /><Relationship Type="http://schemas.openxmlformats.org/officeDocument/2006/relationships/worksheet" Target="/xl/worksheets/sheet1.xml" Id="R62611b6563644368" /><Relationship Type="http://schemas.openxmlformats.org/officeDocument/2006/relationships/worksheet" Target="/xl/worksheets/sheet2.xml" Id="Raf06cb90c7384362" /><Relationship Type="http://schemas.openxmlformats.org/officeDocument/2006/relationships/worksheet" Target="/xl/worksheets/sheet3.xml" Id="R23b48a635b414bf9" /><Relationship Type="http://schemas.openxmlformats.org/officeDocument/2006/relationships/worksheet" Target="/xl/worksheets/sheet4.xml" Id="R1461e38b4f6d402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9639a4353aa342d6" /><Relationship Type="http://schemas.openxmlformats.org/officeDocument/2006/relationships/chart" Target="/xl/drawings/charts/chart2.xml" Id="R3693b35cd3544c27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前测与后测均值（总体及分班）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前测均值</c:v>
          </c:tx>
          <c:cat>
            <c:strRef>
              <c:f>'统计分析'!$A$41:$A$43</c:f>
              <c:strCache>
                <c:ptCount val="0"/>
              </c:strCache>
            </c:strRef>
          </c:cat>
          <c:val>
            <c:numRef>
              <c:f>'统计分析'!$B$41:$B$43</c:f>
              <c:numCache>
                <c:formatCode>0.0</c:formatCode>
                <c:ptCount val="0"/>
              </c:numCache>
            </c:numRef>
          </c:val>
        </c:ser>
        <c:ser>
          <c:idx val="1"/>
          <c:order val="1"/>
          <c:tx>
            <c:v>后测均值</c:v>
          </c:tx>
          <c:cat>
            <c:strRef>
              <c:f>'统计分析'!$A$41:$A$43</c:f>
              <c:strCache>
                <c:ptCount val="0"/>
              </c:strCache>
            </c:strRef>
          </c:cat>
          <c:val>
            <c:numRef>
              <c:f>'统计分析'!$C$41:$C$43</c:f>
              <c:numCache>
                <c:formatCode>0.0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  <c:max val="100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六维能力与项目作品均值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总体均值</c:v>
          </c:tx>
          <c:cat>
            <c:strRef>
              <c:f>'统计分析'!$A$11:$A$17</c:f>
              <c:strCache>
                <c:ptCount val="0"/>
              </c:strCache>
            </c:strRef>
          </c:cat>
          <c:val>
            <c:numRef>
              <c:f>'统计分析'!$B$11:$B$17</c:f>
              <c:numCache>
                <c:formatCode>0.0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  <c:max val="100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19</xdr:row>
      <xdr:rowOff>0</xdr:rowOff>
    </xdr:from>
    <xdr:to>
      <xdr:col>8</xdr:col>
      <xdr:colOff>0</xdr:colOff>
      <xdr:row>37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639a4353aa342d6"/>
        </a:graphicData>
      </a:graphic>
    </xdr:graphicFrame>
    <xdr:clientData/>
  </xdr:twoCellAnchor>
  <xdr:twoCellAnchor>
    <xdr:from>
      <xdr:col>8</xdr:col>
      <xdr:colOff>0</xdr:colOff>
      <xdr:row>3</xdr:row>
      <xdr:rowOff>0</xdr:rowOff>
    </xdr:from>
    <xdr:to>
      <xdr:col>16</xdr:col>
      <xdr:colOff>0</xdr:colOff>
      <xdr:row>21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693b35cd3544c2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1.xml" Id="Rd652e2b8c355455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</x:cols>
  <x:sheetData>
    <x:row r="1" ht="28" customHeight="1">
      <x:c r="A1" s="22" t="str">
        <x:v>id</x:v>
      </x:c>
      <x:c r="B1" s="22" t="str">
        <x:v>pre</x:v>
      </x:c>
      <x:c r="C1" s="22" t="str">
        <x:v>post</x:v>
      </x:c>
      <x:c r="D1" s="22" t="str">
        <x:v>space</x:v>
      </x:c>
      <x:c r="E1" s="22" t="str">
        <x:v>decompose</x:v>
      </x:c>
      <x:c r="F1" s="22" t="str">
        <x:v>parametric</x:v>
      </x:c>
      <x:c r="G1" s="22" t="str">
        <x:v>debug</x:v>
      </x:c>
      <x:c r="H1" s="22" t="str">
        <x:v>engineering</x:v>
      </x:c>
      <x:c r="I1" s="22" t="str">
        <x:v>interest</x:v>
      </x:c>
      <x:c r="J1" s="22" t="str">
        <x:v>project</x:v>
      </x:c>
      <x:c r="K1" s="22" t="str">
        <x:v>source</x:v>
      </x:c>
      <x:c r="L1" s="23" t="str">
        <x:v>gain</x:v>
      </x:c>
    </x:row>
    <x:row r="2">
      <x:c r="A2" s="24" t="str">
        <x:v>选修一班_A01</x:v>
      </x:c>
      <x:c r="B2" s="25" t="str">
        <x:v>59.8</x:v>
      </x:c>
      <x:c r="C2" s="25" t="str">
        <x:v>70.6</x:v>
      </x:c>
      <x:c r="D2" s="25" t="str">
        <x:v>71.1</x:v>
      </x:c>
      <x:c r="E2" s="25" t="str">
        <x:v>69.9</x:v>
      </x:c>
      <x:c r="F2" s="25" t="str">
        <x:v>75.6</x:v>
      </x:c>
      <x:c r="G2" s="25" t="str">
        <x:v>70.4</x:v>
      </x:c>
      <x:c r="H2" s="25" t="str">
        <x:v>74.2</x:v>
      </x:c>
      <x:c r="I2" s="25" t="str">
        <x:v>65.8</x:v>
      </x:c>
      <x:c r="J2" s="25" t="str">
        <x:v>71.4</x:v>
      </x:c>
      <x:c r="K2" s="24" t="str">
        <x:v>real</x:v>
      </x:c>
      <x:c r="L2" s="26" t="n">
        <x:f>C2-B2</x:f>
        <x:v>10.799999999999997</x:v>
      </x:c>
    </x:row>
    <x:row r="3">
      <x:c r="A3" s="24" t="str">
        <x:v>选修一班_A02</x:v>
      </x:c>
      <x:c r="B3" s="25" t="str">
        <x:v>66.7</x:v>
      </x:c>
      <x:c r="C3" s="25" t="str">
        <x:v>83.2</x:v>
      </x:c>
      <x:c r="D3" s="25" t="str">
        <x:v>80.2</x:v>
      </x:c>
      <x:c r="E3" s="25" t="str">
        <x:v>80.9</x:v>
      </x:c>
      <x:c r="F3" s="25" t="str">
        <x:v>86.5</x:v>
      </x:c>
      <x:c r="G3" s="25" t="str">
        <x:v>81.8</x:v>
      </x:c>
      <x:c r="H3" s="25" t="str">
        <x:v>84.0</x:v>
      </x:c>
      <x:c r="I3" s="25" t="str">
        <x:v>79.9</x:v>
      </x:c>
      <x:c r="J3" s="25" t="str">
        <x:v>85.9</x:v>
      </x:c>
      <x:c r="K3" s="24" t="str">
        <x:v>real</x:v>
      </x:c>
      <x:c r="L3" s="26" t="n">
        <x:f>C3-B3</x:f>
        <x:v>16.5</x:v>
      </x:c>
    </x:row>
    <x:row r="4">
      <x:c r="A4" s="24" t="str">
        <x:v>选修一班_A03</x:v>
      </x:c>
      <x:c r="B4" s="25" t="str">
        <x:v>58.3</x:v>
      </x:c>
      <x:c r="C4" s="25" t="str">
        <x:v>71.5</x:v>
      </x:c>
      <x:c r="D4" s="25" t="str">
        <x:v>73.0</x:v>
      </x:c>
      <x:c r="E4" s="25" t="str">
        <x:v>72.4</x:v>
      </x:c>
      <x:c r="F4" s="25" t="str">
        <x:v>71.8</x:v>
      </x:c>
      <x:c r="G4" s="25" t="str">
        <x:v>72.1</x:v>
      </x:c>
      <x:c r="H4" s="25" t="str">
        <x:v>72.1</x:v>
      </x:c>
      <x:c r="I4" s="25" t="str">
        <x:v>68.8</x:v>
      </x:c>
      <x:c r="J4" s="25" t="str">
        <x:v>73.4</x:v>
      </x:c>
      <x:c r="K4" s="24" t="str">
        <x:v>real</x:v>
      </x:c>
      <x:c r="L4" s="26" t="n">
        <x:f>C4-B4</x:f>
        <x:v>13.200000000000003</x:v>
      </x:c>
    </x:row>
    <x:row r="5">
      <x:c r="A5" s="24" t="str">
        <x:v>选修一班_A04</x:v>
      </x:c>
      <x:c r="B5" s="25" t="str">
        <x:v>56.6</x:v>
      </x:c>
      <x:c r="C5" s="25" t="str">
        <x:v>73.3</x:v>
      </x:c>
      <x:c r="D5" s="25" t="str">
        <x:v>72.5</x:v>
      </x:c>
      <x:c r="E5" s="25" t="str">
        <x:v>77.1</x:v>
      </x:c>
      <x:c r="F5" s="25" t="str">
        <x:v>74.9</x:v>
      </x:c>
      <x:c r="G5" s="25" t="str">
        <x:v>72.8</x:v>
      </x:c>
      <x:c r="H5" s="25" t="str">
        <x:v>77.4</x:v>
      </x:c>
      <x:c r="I5" s="25" t="str">
        <x:v>74.1</x:v>
      </x:c>
      <x:c r="J5" s="25" t="str">
        <x:v>75.3</x:v>
      </x:c>
      <x:c r="K5" s="24" t="str">
        <x:v>real</x:v>
      </x:c>
      <x:c r="L5" s="26" t="n">
        <x:f>C5-B5</x:f>
        <x:v>16.699999999999996</x:v>
      </x:c>
    </x:row>
    <x:row r="6">
      <x:c r="A6" s="24" t="str">
        <x:v>选修一班_A05</x:v>
      </x:c>
      <x:c r="B6" s="25" t="str">
        <x:v>80.4</x:v>
      </x:c>
      <x:c r="C6" s="25" t="str">
        <x:v>96.4</x:v>
      </x:c>
      <x:c r="D6" s="25" t="str">
        <x:v>97.5</x:v>
      </x:c>
      <x:c r="E6" s="25" t="str">
        <x:v>96.9</x:v>
      </x:c>
      <x:c r="F6" s="25" t="str">
        <x:v>97.3</x:v>
      </x:c>
      <x:c r="G6" s="25" t="str">
        <x:v>98.2</x:v>
      </x:c>
      <x:c r="H6" s="25" t="str">
        <x:v>100</x:v>
      </x:c>
      <x:c r="I6" s="25" t="str">
        <x:v>91.2</x:v>
      </x:c>
      <x:c r="J6" s="25" t="str">
        <x:v>95.3</x:v>
      </x:c>
      <x:c r="K6" s="24" t="str">
        <x:v>real</x:v>
      </x:c>
      <x:c r="L6" s="26" t="n">
        <x:f>C6-B6</x:f>
        <x:v>16</x:v>
      </x:c>
    </x:row>
    <x:row r="7">
      <x:c r="A7" s="24" t="str">
        <x:v>选修一班_A06</x:v>
      </x:c>
      <x:c r="B7" s="25" t="str">
        <x:v>65.1</x:v>
      </x:c>
      <x:c r="C7" s="25" t="str">
        <x:v>74.0</x:v>
      </x:c>
      <x:c r="D7" s="25" t="str">
        <x:v>71.2</x:v>
      </x:c>
      <x:c r="E7" s="25" t="str">
        <x:v>76.2</x:v>
      </x:c>
      <x:c r="F7" s="25" t="str">
        <x:v>78.6</x:v>
      </x:c>
      <x:c r="G7" s="25" t="str">
        <x:v>71.0</x:v>
      </x:c>
      <x:c r="H7" s="25" t="str">
        <x:v>80.2</x:v>
      </x:c>
      <x:c r="I7" s="25" t="str">
        <x:v>69.7</x:v>
      </x:c>
      <x:c r="J7" s="25" t="str">
        <x:v>74.1</x:v>
      </x:c>
      <x:c r="K7" s="24" t="str">
        <x:v>real</x:v>
      </x:c>
      <x:c r="L7" s="26" t="n">
        <x:f>C7-B7</x:f>
        <x:v>8.900000000000006</x:v>
      </x:c>
    </x:row>
    <x:row r="8">
      <x:c r="A8" s="24" t="str">
        <x:v>选修一班_A07</x:v>
      </x:c>
      <x:c r="B8" s="25" t="str">
        <x:v>63.5</x:v>
      </x:c>
      <x:c r="C8" s="25" t="str">
        <x:v>73.3</x:v>
      </x:c>
      <x:c r="D8" s="25" t="str">
        <x:v>74.7</x:v>
      </x:c>
      <x:c r="E8" s="25" t="str">
        <x:v>71.2</x:v>
      </x:c>
      <x:c r="F8" s="25" t="str">
        <x:v>77.2</x:v>
      </x:c>
      <x:c r="G8" s="25" t="str">
        <x:v>72.9</x:v>
      </x:c>
      <x:c r="H8" s="25" t="str">
        <x:v>75.7</x:v>
      </x:c>
      <x:c r="I8" s="25" t="str">
        <x:v>71.3</x:v>
      </x:c>
      <x:c r="J8" s="25" t="str">
        <x:v>75.3</x:v>
      </x:c>
      <x:c r="K8" s="24" t="str">
        <x:v>real</x:v>
      </x:c>
      <x:c r="L8" s="26" t="n">
        <x:f>C8-B8</x:f>
        <x:v>9.799999999999997</x:v>
      </x:c>
    </x:row>
    <x:row r="9">
      <x:c r="A9" s="24" t="str">
        <x:v>选修一班_A08</x:v>
      </x:c>
      <x:c r="B9" s="25" t="str">
        <x:v>63.5</x:v>
      </x:c>
      <x:c r="C9" s="25" t="str">
        <x:v>78.3</x:v>
      </x:c>
      <x:c r="D9" s="25" t="str">
        <x:v>79.3</x:v>
      </x:c>
      <x:c r="E9" s="25" t="str">
        <x:v>81.0</x:v>
      </x:c>
      <x:c r="F9" s="25" t="str">
        <x:v>80.0</x:v>
      </x:c>
      <x:c r="G9" s="25" t="str">
        <x:v>80.1</x:v>
      </x:c>
      <x:c r="H9" s="25" t="str">
        <x:v>83.3</x:v>
      </x:c>
      <x:c r="I9" s="25" t="str">
        <x:v>75.8</x:v>
      </x:c>
      <x:c r="J9" s="25" t="str">
        <x:v>83.3</x:v>
      </x:c>
      <x:c r="K9" s="24" t="str">
        <x:v>real</x:v>
      </x:c>
      <x:c r="L9" s="26" t="n">
        <x:f>C9-B9</x:f>
        <x:v>14.799999999999997</x:v>
      </x:c>
    </x:row>
    <x:row r="10">
      <x:c r="A10" s="24" t="str">
        <x:v>选修一班_A09</x:v>
      </x:c>
      <x:c r="B10" s="25" t="str">
        <x:v>73.1</x:v>
      </x:c>
      <x:c r="C10" s="25" t="str">
        <x:v>89.0</x:v>
      </x:c>
      <x:c r="D10" s="25" t="str">
        <x:v>88.6</x:v>
      </x:c>
      <x:c r="E10" s="25" t="str">
        <x:v>93.3</x:v>
      </x:c>
      <x:c r="F10" s="25" t="str">
        <x:v>88.6</x:v>
      </x:c>
      <x:c r="G10" s="25" t="str">
        <x:v>91.2</x:v>
      </x:c>
      <x:c r="H10" s="25" t="str">
        <x:v>91.5</x:v>
      </x:c>
      <x:c r="I10" s="25" t="str">
        <x:v>83.8</x:v>
      </x:c>
      <x:c r="J10" s="25" t="str">
        <x:v>86.9</x:v>
      </x:c>
      <x:c r="K10" s="24" t="str">
        <x:v>real</x:v>
      </x:c>
      <x:c r="L10" s="26" t="n">
        <x:f>C10-B10</x:f>
        <x:v>15.900000000000006</x:v>
      </x:c>
    </x:row>
    <x:row r="11">
      <x:c r="A11" s="24" t="str">
        <x:v>选修一班_A10</x:v>
      </x:c>
      <x:c r="B11" s="25" t="str">
        <x:v>58.4</x:v>
      </x:c>
      <x:c r="C11" s="25" t="str">
        <x:v>72.3</x:v>
      </x:c>
      <x:c r="D11" s="25" t="str">
        <x:v>72.8</x:v>
      </x:c>
      <x:c r="E11" s="25" t="str">
        <x:v>71.6</x:v>
      </x:c>
      <x:c r="F11" s="25" t="str">
        <x:v>72.5</x:v>
      </x:c>
      <x:c r="G11" s="25" t="str">
        <x:v>74.8</x:v>
      </x:c>
      <x:c r="H11" s="25" t="str">
        <x:v>77.2</x:v>
      </x:c>
      <x:c r="I11" s="25" t="str">
        <x:v>70.4</x:v>
      </x:c>
      <x:c r="J11" s="25" t="str">
        <x:v>70.3</x:v>
      </x:c>
      <x:c r="K11" s="24" t="str">
        <x:v>real</x:v>
      </x:c>
      <x:c r="L11" s="26" t="n">
        <x:f>C11-B11</x:f>
        <x:v>13.899999999999999</x:v>
      </x:c>
    </x:row>
    <x:row r="12">
      <x:c r="A12" s="24" t="str">
        <x:v>选修一班_A11</x:v>
      </x:c>
      <x:c r="B12" s="25" t="str">
        <x:v>70.5</x:v>
      </x:c>
      <x:c r="C12" s="25" t="str">
        <x:v>81.5</x:v>
      </x:c>
      <x:c r="D12" s="25" t="str">
        <x:v>78.1</x:v>
      </x:c>
      <x:c r="E12" s="25" t="str">
        <x:v>83.3</x:v>
      </x:c>
      <x:c r="F12" s="25" t="str">
        <x:v>80.0</x:v>
      </x:c>
      <x:c r="G12" s="25" t="str">
        <x:v>82.7</x:v>
      </x:c>
      <x:c r="H12" s="25" t="str">
        <x:v>85.2</x:v>
      </x:c>
      <x:c r="I12" s="25" t="str">
        <x:v>82.7</x:v>
      </x:c>
      <x:c r="J12" s="25" t="str">
        <x:v>84.5</x:v>
      </x:c>
      <x:c r="K12" s="24" t="str">
        <x:v>real</x:v>
      </x:c>
      <x:c r="L12" s="26" t="n">
        <x:f>C12-B12</x:f>
        <x:v>11</x:v>
      </x:c>
    </x:row>
    <x:row r="13">
      <x:c r="A13" s="24" t="str">
        <x:v>选修一班_A12</x:v>
      </x:c>
      <x:c r="B13" s="25" t="str">
        <x:v>77.8</x:v>
      </x:c>
      <x:c r="C13" s="25" t="str">
        <x:v>86.1</x:v>
      </x:c>
      <x:c r="D13" s="25" t="str">
        <x:v>84.6</x:v>
      </x:c>
      <x:c r="E13" s="25" t="str">
        <x:v>89.7</x:v>
      </x:c>
      <x:c r="F13" s="25" t="str">
        <x:v>91.1</x:v>
      </x:c>
      <x:c r="G13" s="25" t="str">
        <x:v>87.6</x:v>
      </x:c>
      <x:c r="H13" s="25" t="str">
        <x:v>88.1</x:v>
      </x:c>
      <x:c r="I13" s="25" t="str">
        <x:v>86.3</x:v>
      </x:c>
      <x:c r="J13" s="25" t="str">
        <x:v>85.5</x:v>
      </x:c>
      <x:c r="K13" s="24" t="str">
        <x:v>real</x:v>
      </x:c>
      <x:c r="L13" s="26" t="n">
        <x:f>C13-B13</x:f>
        <x:v>8.299999999999997</x:v>
      </x:c>
    </x:row>
    <x:row r="14">
      <x:c r="A14" s="24" t="str">
        <x:v>选修一班_A13</x:v>
      </x:c>
      <x:c r="B14" s="25" t="str">
        <x:v>78.3</x:v>
      </x:c>
      <x:c r="C14" s="25" t="str">
        <x:v>94.4</x:v>
      </x:c>
      <x:c r="D14" s="25" t="str">
        <x:v>92.3</x:v>
      </x:c>
      <x:c r="E14" s="25" t="str">
        <x:v>94.8</x:v>
      </x:c>
      <x:c r="F14" s="25" t="str">
        <x:v>97.9</x:v>
      </x:c>
      <x:c r="G14" s="25" t="str">
        <x:v>92.8</x:v>
      </x:c>
      <x:c r="H14" s="25" t="str">
        <x:v>100</x:v>
      </x:c>
      <x:c r="I14" s="25" t="str">
        <x:v>92.2</x:v>
      </x:c>
      <x:c r="J14" s="25" t="str">
        <x:v>92.6</x:v>
      </x:c>
      <x:c r="K14" s="24" t="str">
        <x:v>real</x:v>
      </x:c>
      <x:c r="L14" s="26" t="n">
        <x:f>C14-B14</x:f>
        <x:v>16.10000000000001</x:v>
      </x:c>
    </x:row>
    <x:row r="15">
      <x:c r="A15" s="24" t="str">
        <x:v>选修一班_A14</x:v>
      </x:c>
      <x:c r="B15" s="25" t="str">
        <x:v>66.8</x:v>
      </x:c>
      <x:c r="C15" s="25" t="str">
        <x:v>81.3</x:v>
      </x:c>
      <x:c r="D15" s="25" t="str">
        <x:v>78.6</x:v>
      </x:c>
      <x:c r="E15" s="25" t="str">
        <x:v>84.4</x:v>
      </x:c>
      <x:c r="F15" s="25" t="str">
        <x:v>85.0</x:v>
      </x:c>
      <x:c r="G15" s="25" t="str">
        <x:v>82.5</x:v>
      </x:c>
      <x:c r="H15" s="25" t="str">
        <x:v>88.0</x:v>
      </x:c>
      <x:c r="I15" s="25" t="str">
        <x:v>77.6</x:v>
      </x:c>
      <x:c r="J15" s="25" t="str">
        <x:v>78.6</x:v>
      </x:c>
      <x:c r="K15" s="24" t="str">
        <x:v>real</x:v>
      </x:c>
      <x:c r="L15" s="26" t="n">
        <x:f>C15-B15</x:f>
        <x:v>14.5</x:v>
      </x:c>
    </x:row>
    <x:row r="16">
      <x:c r="A16" s="24" t="str">
        <x:v>选修一班_A15</x:v>
      </x:c>
      <x:c r="B16" s="25" t="str">
        <x:v>59.7</x:v>
      </x:c>
      <x:c r="C16" s="25" t="str">
        <x:v>75.1</x:v>
      </x:c>
      <x:c r="D16" s="25" t="str">
        <x:v>73.8</x:v>
      </x:c>
      <x:c r="E16" s="25" t="str">
        <x:v>78.2</x:v>
      </x:c>
      <x:c r="F16" s="25" t="str">
        <x:v>78.3</x:v>
      </x:c>
      <x:c r="G16" s="25" t="str">
        <x:v>75.0</x:v>
      </x:c>
      <x:c r="H16" s="25" t="str">
        <x:v>79.1</x:v>
      </x:c>
      <x:c r="I16" s="25" t="str">
        <x:v>74.0</x:v>
      </x:c>
      <x:c r="J16" s="25" t="str">
        <x:v>75.3</x:v>
      </x:c>
      <x:c r="K16" s="24" t="str">
        <x:v>real</x:v>
      </x:c>
      <x:c r="L16" s="26" t="n">
        <x:f>C16-B16</x:f>
        <x:v>15.399999999999991</x:v>
      </x:c>
    </x:row>
    <x:row r="17">
      <x:c r="A17" s="24" t="str">
        <x:v>选修一班_A16</x:v>
      </x:c>
      <x:c r="B17" s="25" t="str">
        <x:v>64.7</x:v>
      </x:c>
      <x:c r="C17" s="25" t="str">
        <x:v>73.9</x:v>
      </x:c>
      <x:c r="D17" s="25" t="str">
        <x:v>72.9</x:v>
      </x:c>
      <x:c r="E17" s="25" t="str">
        <x:v>76.9</x:v>
      </x:c>
      <x:c r="F17" s="25" t="str">
        <x:v>75.0</x:v>
      </x:c>
      <x:c r="G17" s="25" t="str">
        <x:v>76.6</x:v>
      </x:c>
      <x:c r="H17" s="25" t="str">
        <x:v>76.2</x:v>
      </x:c>
      <x:c r="I17" s="25" t="str">
        <x:v>72.6</x:v>
      </x:c>
      <x:c r="J17" s="25" t="str">
        <x:v>77.9</x:v>
      </x:c>
      <x:c r="K17" s="24" t="str">
        <x:v>real</x:v>
      </x:c>
      <x:c r="L17" s="26" t="n">
        <x:f>C17-B17</x:f>
        <x:v>9.200000000000003</x:v>
      </x:c>
    </x:row>
    <x:row r="18">
      <x:c r="A18" s="24" t="str">
        <x:v>选修一班_A17</x:v>
      </x:c>
      <x:c r="B18" s="25" t="str">
        <x:v>76.6</x:v>
      </x:c>
      <x:c r="C18" s="25" t="str">
        <x:v>87.8</x:v>
      </x:c>
      <x:c r="D18" s="25" t="str">
        <x:v>84.9</x:v>
      </x:c>
      <x:c r="E18" s="25" t="str">
        <x:v>85.8</x:v>
      </x:c>
      <x:c r="F18" s="25" t="str">
        <x:v>89.7</x:v>
      </x:c>
      <x:c r="G18" s="25" t="str">
        <x:v>90.8</x:v>
      </x:c>
      <x:c r="H18" s="25" t="str">
        <x:v>93.2</x:v>
      </x:c>
      <x:c r="I18" s="25" t="str">
        <x:v>82.6</x:v>
      </x:c>
      <x:c r="J18" s="25" t="str">
        <x:v>86.0</x:v>
      </x:c>
      <x:c r="K18" s="24" t="str">
        <x:v>real</x:v>
      </x:c>
      <x:c r="L18" s="26" t="n">
        <x:f>C18-B18</x:f>
        <x:v>11.200000000000003</x:v>
      </x:c>
    </x:row>
    <x:row r="19">
      <x:c r="A19" s="24" t="str">
        <x:v>选修一班_A18</x:v>
      </x:c>
      <x:c r="B19" s="25" t="str">
        <x:v>63.5</x:v>
      </x:c>
      <x:c r="C19" s="25" t="str">
        <x:v>72.1</x:v>
      </x:c>
      <x:c r="D19" s="25" t="str">
        <x:v>72.6</x:v>
      </x:c>
      <x:c r="E19" s="25" t="str">
        <x:v>71.9</x:v>
      </x:c>
      <x:c r="F19" s="25" t="str">
        <x:v>74.9</x:v>
      </x:c>
      <x:c r="G19" s="25" t="str">
        <x:v>69.1</x:v>
      </x:c>
      <x:c r="H19" s="25" t="str">
        <x:v>76.5</x:v>
      </x:c>
      <x:c r="I19" s="25" t="str">
        <x:v>71.9</x:v>
      </x:c>
      <x:c r="J19" s="25" t="str">
        <x:v>70.5</x:v>
      </x:c>
      <x:c r="K19" s="24" t="str">
        <x:v>real</x:v>
      </x:c>
      <x:c r="L19" s="26" t="n">
        <x:f>C19-B19</x:f>
        <x:v>8.599999999999994</x:v>
      </x:c>
    </x:row>
    <x:row r="20">
      <x:c r="A20" s="24" t="str">
        <x:v>选修一班_A19</x:v>
      </x:c>
      <x:c r="B20" s="25" t="str">
        <x:v>74.6</x:v>
      </x:c>
      <x:c r="C20" s="25" t="str">
        <x:v>91.4</x:v>
      </x:c>
      <x:c r="D20" s="25" t="str">
        <x:v>90.5</x:v>
      </x:c>
      <x:c r="E20" s="25" t="str">
        <x:v>89.1</x:v>
      </x:c>
      <x:c r="F20" s="25" t="str">
        <x:v>91.9</x:v>
      </x:c>
      <x:c r="G20" s="25" t="str">
        <x:v>90.8</x:v>
      </x:c>
      <x:c r="H20" s="25" t="str">
        <x:v>92.9</x:v>
      </x:c>
      <x:c r="I20" s="25" t="str">
        <x:v>88.5</x:v>
      </x:c>
      <x:c r="J20" s="25" t="str">
        <x:v>94.8</x:v>
      </x:c>
      <x:c r="K20" s="24" t="str">
        <x:v>real</x:v>
      </x:c>
      <x:c r="L20" s="26" t="n">
        <x:f>C20-B20</x:f>
        <x:v>16.80000000000001</x:v>
      </x:c>
    </x:row>
    <x:row r="21">
      <x:c r="A21" s="24" t="str">
        <x:v>选修一班_A20</x:v>
      </x:c>
      <x:c r="B21" s="25" t="str">
        <x:v>62.5</x:v>
      </x:c>
      <x:c r="C21" s="25" t="str">
        <x:v>74.1</x:v>
      </x:c>
      <x:c r="D21" s="25" t="str">
        <x:v>69.7</x:v>
      </x:c>
      <x:c r="E21" s="25" t="str">
        <x:v>72.6</x:v>
      </x:c>
      <x:c r="F21" s="25" t="str">
        <x:v>72.7</x:v>
      </x:c>
      <x:c r="G21" s="25" t="str">
        <x:v>70.7</x:v>
      </x:c>
      <x:c r="H21" s="25" t="str">
        <x:v>80.8</x:v>
      </x:c>
      <x:c r="I21" s="25" t="str">
        <x:v>71.7</x:v>
      </x:c>
      <x:c r="J21" s="25" t="str">
        <x:v>78.4</x:v>
      </x:c>
      <x:c r="K21" s="24" t="str">
        <x:v>real</x:v>
      </x:c>
      <x:c r="L21" s="26" t="n">
        <x:f>C21-B21</x:f>
        <x:v>11.599999999999994</x:v>
      </x:c>
    </x:row>
    <x:row r="22">
      <x:c r="A22" s="24" t="str">
        <x:v>选修一班_A21</x:v>
      </x:c>
      <x:c r="B22" s="25" t="str">
        <x:v>64.8</x:v>
      </x:c>
      <x:c r="C22" s="25" t="str">
        <x:v>79.7</x:v>
      </x:c>
      <x:c r="D22" s="25" t="str">
        <x:v>81.4</x:v>
      </x:c>
      <x:c r="E22" s="25" t="str">
        <x:v>81.2</x:v>
      </x:c>
      <x:c r="F22" s="25" t="str">
        <x:v>79.5</x:v>
      </x:c>
      <x:c r="G22" s="25" t="str">
        <x:v>79.8</x:v>
      </x:c>
      <x:c r="H22" s="25" t="str">
        <x:v>85.1</x:v>
      </x:c>
      <x:c r="I22" s="25" t="str">
        <x:v>78.8</x:v>
      </x:c>
      <x:c r="J22" s="25" t="str">
        <x:v>84.3</x:v>
      </x:c>
      <x:c r="K22" s="24" t="str">
        <x:v>real</x:v>
      </x:c>
      <x:c r="L22" s="26" t="n">
        <x:f>C22-B22</x:f>
        <x:v>14.900000000000006</x:v>
      </x:c>
    </x:row>
    <x:row r="23">
      <x:c r="A23" s="24" t="str">
        <x:v>选修一班_A22</x:v>
      </x:c>
      <x:c r="B23" s="25" t="str">
        <x:v>71.0</x:v>
      </x:c>
      <x:c r="C23" s="25" t="str">
        <x:v>85.7</x:v>
      </x:c>
      <x:c r="D23" s="25" t="str">
        <x:v>84.5</x:v>
      </x:c>
      <x:c r="E23" s="25" t="str">
        <x:v>88.0</x:v>
      </x:c>
      <x:c r="F23" s="25" t="str">
        <x:v>87.5</x:v>
      </x:c>
      <x:c r="G23" s="25" t="str">
        <x:v>88.2</x:v>
      </x:c>
      <x:c r="H23" s="25" t="str">
        <x:v>91.3</x:v>
      </x:c>
      <x:c r="I23" s="25" t="str">
        <x:v>85.8</x:v>
      </x:c>
      <x:c r="J23" s="25" t="str">
        <x:v>83.1</x:v>
      </x:c>
      <x:c r="K23" s="24" t="str">
        <x:v>real</x:v>
      </x:c>
      <x:c r="L23" s="26" t="n">
        <x:f>C23-B23</x:f>
        <x:v>14.700000000000003</x:v>
      </x:c>
    </x:row>
    <x:row r="24">
      <x:c r="A24" s="24" t="str">
        <x:v>选修一班_A23</x:v>
      </x:c>
      <x:c r="B24" s="25" t="str">
        <x:v>70.4</x:v>
      </x:c>
      <x:c r="C24" s="25" t="str">
        <x:v>85.3</x:v>
      </x:c>
      <x:c r="D24" s="25" t="str">
        <x:v>82.6</x:v>
      </x:c>
      <x:c r="E24" s="25" t="str">
        <x:v>89.7</x:v>
      </x:c>
      <x:c r="F24" s="25" t="str">
        <x:v>88.3</x:v>
      </x:c>
      <x:c r="G24" s="25" t="str">
        <x:v>83.8</x:v>
      </x:c>
      <x:c r="H24" s="25" t="str">
        <x:v>86.8</x:v>
      </x:c>
      <x:c r="I24" s="25" t="str">
        <x:v>83.4</x:v>
      </x:c>
      <x:c r="J24" s="25" t="str">
        <x:v>89.6</x:v>
      </x:c>
      <x:c r="K24" s="24" t="str">
        <x:v>real</x:v>
      </x:c>
      <x:c r="L24" s="26" t="n">
        <x:f>C24-B24</x:f>
        <x:v>14.899999999999991</x:v>
      </x:c>
    </x:row>
    <x:row r="25">
      <x:c r="A25" s="24" t="str">
        <x:v>选修一班_A24</x:v>
      </x:c>
      <x:c r="B25" s="25" t="str">
        <x:v>57.7</x:v>
      </x:c>
      <x:c r="C25" s="25" t="str">
        <x:v>66.1</x:v>
      </x:c>
      <x:c r="D25" s="25" t="str">
        <x:v>65.4</x:v>
      </x:c>
      <x:c r="E25" s="25" t="str">
        <x:v>69.6</x:v>
      </x:c>
      <x:c r="F25" s="25" t="str">
        <x:v>70.0</x:v>
      </x:c>
      <x:c r="G25" s="25" t="str">
        <x:v>65.1</x:v>
      </x:c>
      <x:c r="H25" s="25" t="str">
        <x:v>69.6</x:v>
      </x:c>
      <x:c r="I25" s="25" t="str">
        <x:v>63.5</x:v>
      </x:c>
      <x:c r="J25" s="25" t="str">
        <x:v>63.4</x:v>
      </x:c>
      <x:c r="K25" s="24" t="str">
        <x:v>real</x:v>
      </x:c>
      <x:c r="L25" s="26" t="n">
        <x:f>C25-B25</x:f>
        <x:v>8.399999999999991</x:v>
      </x:c>
    </x:row>
    <x:row r="26">
      <x:c r="A26" s="24" t="str">
        <x:v>选修一班_A25</x:v>
      </x:c>
      <x:c r="B26" s="25" t="str">
        <x:v>72.7</x:v>
      </x:c>
      <x:c r="C26" s="25" t="str">
        <x:v>84.7</x:v>
      </x:c>
      <x:c r="D26" s="25" t="str">
        <x:v>83.1</x:v>
      </x:c>
      <x:c r="E26" s="25" t="str">
        <x:v>83.2</x:v>
      </x:c>
      <x:c r="F26" s="25" t="str">
        <x:v>83.3</x:v>
      </x:c>
      <x:c r="G26" s="25" t="str">
        <x:v>82.5</x:v>
      </x:c>
      <x:c r="H26" s="25" t="str">
        <x:v>89.9</x:v>
      </x:c>
      <x:c r="I26" s="25" t="str">
        <x:v>80.1</x:v>
      </x:c>
      <x:c r="J26" s="25" t="str">
        <x:v>85.7</x:v>
      </x:c>
      <x:c r="K26" s="24" t="str">
        <x:v>real</x:v>
      </x:c>
      <x:c r="L26" s="26" t="n">
        <x:f>C26-B26</x:f>
        <x:v>12</x:v>
      </x:c>
    </x:row>
    <x:row r="27">
      <x:c r="A27" s="24" t="str">
        <x:v>选修一班_A26</x:v>
      </x:c>
      <x:c r="B27" s="25" t="str">
        <x:v>63.2</x:v>
      </x:c>
      <x:c r="C27" s="25" t="str">
        <x:v>71.9</x:v>
      </x:c>
      <x:c r="D27" s="25" t="str">
        <x:v>71.5</x:v>
      </x:c>
      <x:c r="E27" s="25" t="str">
        <x:v>69.5</x:v>
      </x:c>
      <x:c r="F27" s="25" t="str">
        <x:v>71.0</x:v>
      </x:c>
      <x:c r="G27" s="25" t="str">
        <x:v>74.1</x:v>
      </x:c>
      <x:c r="H27" s="25" t="str">
        <x:v>76.8</x:v>
      </x:c>
      <x:c r="I27" s="25" t="str">
        <x:v>69.5</x:v>
      </x:c>
      <x:c r="J27" s="25" t="str">
        <x:v>75.6</x:v>
      </x:c>
      <x:c r="K27" s="24" t="str">
        <x:v>real</x:v>
      </x:c>
      <x:c r="L27" s="26" t="n">
        <x:f>C27-B27</x:f>
        <x:v>8.700000000000003</x:v>
      </x:c>
    </x:row>
    <x:row r="28">
      <x:c r="A28" s="24" t="str">
        <x:v>选修一班_A27</x:v>
      </x:c>
      <x:c r="B28" s="25" t="str">
        <x:v>73.6</x:v>
      </x:c>
      <x:c r="C28" s="25" t="str">
        <x:v>82.9</x:v>
      </x:c>
      <x:c r="D28" s="25" t="str">
        <x:v>82.1</x:v>
      </x:c>
      <x:c r="E28" s="25" t="str">
        <x:v>83.4</x:v>
      </x:c>
      <x:c r="F28" s="25" t="str">
        <x:v>88.2</x:v>
      </x:c>
      <x:c r="G28" s="25" t="str">
        <x:v>81.0</x:v>
      </x:c>
      <x:c r="H28" s="25" t="str">
        <x:v>86.2</x:v>
      </x:c>
      <x:c r="I28" s="25" t="str">
        <x:v>84.1</x:v>
      </x:c>
      <x:c r="J28" s="25" t="str">
        <x:v>87.3</x:v>
      </x:c>
      <x:c r="K28" s="24" t="str">
        <x:v>real</x:v>
      </x:c>
      <x:c r="L28" s="26" t="n">
        <x:f>C28-B28</x:f>
        <x:v>9.300000000000011</x:v>
      </x:c>
    </x:row>
    <x:row r="29">
      <x:c r="A29" s="24" t="str">
        <x:v>选修一班_A28</x:v>
      </x:c>
      <x:c r="B29" s="25" t="str">
        <x:v>74.7</x:v>
      </x:c>
      <x:c r="C29" s="25" t="str">
        <x:v>91.6</x:v>
      </x:c>
      <x:c r="D29" s="25" t="str">
        <x:v>89.2</x:v>
      </x:c>
      <x:c r="E29" s="25" t="str">
        <x:v>89.6</x:v>
      </x:c>
      <x:c r="F29" s="25" t="str">
        <x:v>93.7</x:v>
      </x:c>
      <x:c r="G29" s="25" t="str">
        <x:v>93.8</x:v>
      </x:c>
      <x:c r="H29" s="25" t="str">
        <x:v>97.5</x:v>
      </x:c>
      <x:c r="I29" s="25" t="str">
        <x:v>92.2</x:v>
      </x:c>
      <x:c r="J29" s="25" t="str">
        <x:v>96.4</x:v>
      </x:c>
      <x:c r="K29" s="24" t="str">
        <x:v>real</x:v>
      </x:c>
      <x:c r="L29" s="26" t="n">
        <x:f>C29-B29</x:f>
        <x:v>16.89999999999999</x:v>
      </x:c>
    </x:row>
    <x:row r="30">
      <x:c r="A30" s="24" t="str">
        <x:v>选修一班_A29</x:v>
      </x:c>
      <x:c r="B30" s="25" t="str">
        <x:v>67.7</x:v>
      </x:c>
      <x:c r="C30" s="25" t="str">
        <x:v>81.0</x:v>
      </x:c>
      <x:c r="D30" s="25" t="str">
        <x:v>81.1</x:v>
      </x:c>
      <x:c r="E30" s="25" t="str">
        <x:v>82.6</x:v>
      </x:c>
      <x:c r="F30" s="25" t="str">
        <x:v>86.4</x:v>
      </x:c>
      <x:c r="G30" s="25" t="str">
        <x:v>79.6</x:v>
      </x:c>
      <x:c r="H30" s="25" t="str">
        <x:v>81.6</x:v>
      </x:c>
      <x:c r="I30" s="25" t="str">
        <x:v>78.6</x:v>
      </x:c>
      <x:c r="J30" s="25" t="str">
        <x:v>86.0</x:v>
      </x:c>
      <x:c r="K30" s="24" t="str">
        <x:v>real</x:v>
      </x:c>
      <x:c r="L30" s="26" t="n">
        <x:f>C30-B30</x:f>
        <x:v>13.299999999999997</x:v>
      </x:c>
    </x:row>
    <x:row r="31">
      <x:c r="A31" s="24" t="str">
        <x:v>选修一班_A30</x:v>
      </x:c>
      <x:c r="B31" s="25" t="str">
        <x:v>78.8</x:v>
      </x:c>
      <x:c r="C31" s="25" t="str">
        <x:v>94.2</x:v>
      </x:c>
      <x:c r="D31" s="25" t="str">
        <x:v>90.9</x:v>
      </x:c>
      <x:c r="E31" s="25" t="str">
        <x:v>97.2</x:v>
      </x:c>
      <x:c r="F31" s="25" t="str">
        <x:v>97.4</x:v>
      </x:c>
      <x:c r="G31" s="25" t="str">
        <x:v>96.8</x:v>
      </x:c>
      <x:c r="H31" s="25" t="str">
        <x:v>97.8</x:v>
      </x:c>
      <x:c r="I31" s="25" t="str">
        <x:v>88.9</x:v>
      </x:c>
      <x:c r="J31" s="25" t="str">
        <x:v>93.6</x:v>
      </x:c>
      <x:c r="K31" s="24" t="str">
        <x:v>real</x:v>
      </x:c>
      <x:c r="L31" s="26" t="n">
        <x:f>C31-B31</x:f>
        <x:v>15.400000000000006</x:v>
      </x:c>
    </x:row>
    <x:row r="32">
      <x:c r="A32" s="24" t="str">
        <x:v>选修二班_B01</x:v>
      </x:c>
      <x:c r="B32" s="25" t="str">
        <x:v>61.3</x:v>
      </x:c>
      <x:c r="C32" s="25" t="str">
        <x:v>72.2</x:v>
      </x:c>
      <x:c r="D32" s="25" t="str">
        <x:v>70.3</x:v>
      </x:c>
      <x:c r="E32" s="25" t="str">
        <x:v>71.4</x:v>
      </x:c>
      <x:c r="F32" s="25" t="str">
        <x:v>75.6</x:v>
      </x:c>
      <x:c r="G32" s="25" t="str">
        <x:v>73.0</x:v>
      </x:c>
      <x:c r="H32" s="25" t="str">
        <x:v>74.7</x:v>
      </x:c>
      <x:c r="I32" s="25" t="str">
        <x:v>69.1</x:v>
      </x:c>
      <x:c r="J32" s="25" t="str">
        <x:v>72.0</x:v>
      </x:c>
      <x:c r="K32" s="24" t="str">
        <x:v>real</x:v>
      </x:c>
      <x:c r="L32" s="26" t="n">
        <x:f>C32-B32</x:f>
        <x:v>10.900000000000006</x:v>
      </x:c>
    </x:row>
    <x:row r="33">
      <x:c r="A33" s="24" t="str">
        <x:v>选修二班_B02</x:v>
      </x:c>
      <x:c r="B33" s="25" t="str">
        <x:v>69.8</x:v>
      </x:c>
      <x:c r="C33" s="25" t="str">
        <x:v>78.8</x:v>
      </x:c>
      <x:c r="D33" s="25" t="str">
        <x:v>80.7</x:v>
      </x:c>
      <x:c r="E33" s="25" t="str">
        <x:v>78.2</x:v>
      </x:c>
      <x:c r="F33" s="25" t="str">
        <x:v>79.4</x:v>
      </x:c>
      <x:c r="G33" s="25" t="str">
        <x:v>81.5</x:v>
      </x:c>
      <x:c r="H33" s="25" t="str">
        <x:v>84.8</x:v>
      </x:c>
      <x:c r="I33" s="25" t="str">
        <x:v>74.9</x:v>
      </x:c>
      <x:c r="J33" s="25" t="str">
        <x:v>80.1</x:v>
      </x:c>
      <x:c r="K33" s="24" t="str">
        <x:v>real</x:v>
      </x:c>
      <x:c r="L33" s="26" t="n">
        <x:f>C33-B33</x:f>
        <x:v>9</x:v>
      </x:c>
    </x:row>
    <x:row r="34">
      <x:c r="A34" s="24" t="str">
        <x:v>选修二班_B03</x:v>
      </x:c>
      <x:c r="B34" s="25" t="str">
        <x:v>78.4</x:v>
      </x:c>
      <x:c r="C34" s="25" t="str">
        <x:v>87.2</x:v>
      </x:c>
      <x:c r="D34" s="25" t="str">
        <x:v>85.2</x:v>
      </x:c>
      <x:c r="E34" s="25" t="str">
        <x:v>87.3</x:v>
      </x:c>
      <x:c r="F34" s="25" t="str">
        <x:v>88.0</x:v>
      </x:c>
      <x:c r="G34" s="25" t="str">
        <x:v>86.5</x:v>
      </x:c>
      <x:c r="H34" s="25" t="str">
        <x:v>93.7</x:v>
      </x:c>
      <x:c r="I34" s="25" t="str">
        <x:v>81.9</x:v>
      </x:c>
      <x:c r="J34" s="25" t="str">
        <x:v>92.0</x:v>
      </x:c>
      <x:c r="K34" s="24" t="str">
        <x:v>real</x:v>
      </x:c>
      <x:c r="L34" s="26" t="n">
        <x:f>C34-B34</x:f>
        <x:v>8.799999999999997</x:v>
      </x:c>
    </x:row>
    <x:row r="35">
      <x:c r="A35" s="24" t="str">
        <x:v>选修二班_B04</x:v>
      </x:c>
      <x:c r="B35" s="25" t="str">
        <x:v>64.0</x:v>
      </x:c>
      <x:c r="C35" s="25" t="str">
        <x:v>76.2</x:v>
      </x:c>
      <x:c r="D35" s="25" t="str">
        <x:v>77.3</x:v>
      </x:c>
      <x:c r="E35" s="25" t="str">
        <x:v>78.1</x:v>
      </x:c>
      <x:c r="F35" s="25" t="str">
        <x:v>81.4</x:v>
      </x:c>
      <x:c r="G35" s="25" t="str">
        <x:v>74.8</x:v>
      </x:c>
      <x:c r="H35" s="25" t="str">
        <x:v>81.7</x:v>
      </x:c>
      <x:c r="I35" s="25" t="str">
        <x:v>75.1</x:v>
      </x:c>
      <x:c r="J35" s="25" t="str">
        <x:v>79.5</x:v>
      </x:c>
      <x:c r="K35" s="24" t="str">
        <x:v>real</x:v>
      </x:c>
      <x:c r="L35" s="26" t="n">
        <x:f>C35-B35</x:f>
        <x:v>12.200000000000003</x:v>
      </x:c>
    </x:row>
    <x:row r="36">
      <x:c r="A36" s="24" t="str">
        <x:v>选修二班_B05</x:v>
      </x:c>
      <x:c r="B36" s="25" t="str">
        <x:v>69.1</x:v>
      </x:c>
      <x:c r="C36" s="25" t="str">
        <x:v>79.2</x:v>
      </x:c>
      <x:c r="D36" s="25" t="str">
        <x:v>75.4</x:v>
      </x:c>
      <x:c r="E36" s="25" t="str">
        <x:v>80.4</x:v>
      </x:c>
      <x:c r="F36" s="25" t="str">
        <x:v>83.5</x:v>
      </x:c>
      <x:c r="G36" s="25" t="str">
        <x:v>80.8</x:v>
      </x:c>
      <x:c r="H36" s="25" t="str">
        <x:v>79.7</x:v>
      </x:c>
      <x:c r="I36" s="25" t="str">
        <x:v>77.7</x:v>
      </x:c>
      <x:c r="J36" s="25" t="str">
        <x:v>83.6</x:v>
      </x:c>
      <x:c r="K36" s="24" t="str">
        <x:v>real</x:v>
      </x:c>
      <x:c r="L36" s="26" t="n">
        <x:f>C36-B36</x:f>
        <x:v>10.100000000000009</x:v>
      </x:c>
    </x:row>
    <x:row r="37">
      <x:c r="A37" s="24" t="str">
        <x:v>选修二班_B06</x:v>
      </x:c>
      <x:c r="B37" s="25" t="str">
        <x:v>69.3</x:v>
      </x:c>
      <x:c r="C37" s="25" t="str">
        <x:v>80.1</x:v>
      </x:c>
      <x:c r="D37" s="25" t="str">
        <x:v>81.8</x:v>
      </x:c>
      <x:c r="E37" s="25" t="str">
        <x:v>83.6</x:v>
      </x:c>
      <x:c r="F37" s="25" t="str">
        <x:v>84.4</x:v>
      </x:c>
      <x:c r="G37" s="25" t="str">
        <x:v>78.6</x:v>
      </x:c>
      <x:c r="H37" s="25" t="str">
        <x:v>80.8</x:v>
      </x:c>
      <x:c r="I37" s="25" t="str">
        <x:v>75.9</x:v>
      </x:c>
      <x:c r="J37" s="25" t="str">
        <x:v>82.7</x:v>
      </x:c>
      <x:c r="K37" s="24" t="str">
        <x:v>real</x:v>
      </x:c>
      <x:c r="L37" s="26" t="n">
        <x:f>C37-B37</x:f>
        <x:v>10.799999999999997</x:v>
      </x:c>
    </x:row>
    <x:row r="38">
      <x:c r="A38" s="24" t="str">
        <x:v>选修二班_B07</x:v>
      </x:c>
      <x:c r="B38" s="25" t="str">
        <x:v>72.1</x:v>
      </x:c>
      <x:c r="C38" s="25" t="str">
        <x:v>88.0</x:v>
      </x:c>
      <x:c r="D38" s="25" t="str">
        <x:v>88.6</x:v>
      </x:c>
      <x:c r="E38" s="25" t="str">
        <x:v>92.3</x:v>
      </x:c>
      <x:c r="F38" s="25" t="str">
        <x:v>87.3</x:v>
      </x:c>
      <x:c r="G38" s="25" t="str">
        <x:v>87.6</x:v>
      </x:c>
      <x:c r="H38" s="25" t="str">
        <x:v>92.4</x:v>
      </x:c>
      <x:c r="I38" s="25" t="str">
        <x:v>87.5</x:v>
      </x:c>
      <x:c r="J38" s="25" t="str">
        <x:v>85.4</x:v>
      </x:c>
      <x:c r="K38" s="24" t="str">
        <x:v>real</x:v>
      </x:c>
      <x:c r="L38" s="26" t="n">
        <x:f>C38-B38</x:f>
        <x:v>15.900000000000006</x:v>
      </x:c>
    </x:row>
    <x:row r="39">
      <x:c r="A39" s="24" t="str">
        <x:v>选修二班_B08</x:v>
      </x:c>
      <x:c r="B39" s="25" t="str">
        <x:v>73.7</x:v>
      </x:c>
      <x:c r="C39" s="25" t="str">
        <x:v>87.8</x:v>
      </x:c>
      <x:c r="D39" s="25" t="str">
        <x:v>84.3</x:v>
      </x:c>
      <x:c r="E39" s="25" t="str">
        <x:v>90.5</x:v>
      </x:c>
      <x:c r="F39" s="25" t="str">
        <x:v>91.0</x:v>
      </x:c>
      <x:c r="G39" s="25" t="str">
        <x:v>89.0</x:v>
      </x:c>
      <x:c r="H39" s="25" t="str">
        <x:v>91.6</x:v>
      </x:c>
      <x:c r="I39" s="25" t="str">
        <x:v>87.6</x:v>
      </x:c>
      <x:c r="J39" s="25" t="str">
        <x:v>89.7</x:v>
      </x:c>
      <x:c r="K39" s="24" t="str">
        <x:v>real</x:v>
      </x:c>
      <x:c r="L39" s="26" t="n">
        <x:f>C39-B39</x:f>
        <x:v>14.099999999999994</x:v>
      </x:c>
    </x:row>
    <x:row r="40">
      <x:c r="A40" s="24" t="str">
        <x:v>选修二班_B09</x:v>
      </x:c>
      <x:c r="B40" s="25" t="str">
        <x:v>70.8</x:v>
      </x:c>
      <x:c r="C40" s="25" t="str">
        <x:v>79.7</x:v>
      </x:c>
      <x:c r="D40" s="25" t="str">
        <x:v>81.2</x:v>
      </x:c>
      <x:c r="E40" s="25" t="str">
        <x:v>81.4</x:v>
      </x:c>
      <x:c r="F40" s="25" t="str">
        <x:v>78.4</x:v>
      </x:c>
      <x:c r="G40" s="25" t="str">
        <x:v>78.8</x:v>
      </x:c>
      <x:c r="H40" s="25" t="str">
        <x:v>87.1</x:v>
      </x:c>
      <x:c r="I40" s="25" t="str">
        <x:v>79.1</x:v>
      </x:c>
      <x:c r="J40" s="25" t="str">
        <x:v>77.4</x:v>
      </x:c>
      <x:c r="K40" s="24" t="str">
        <x:v>real</x:v>
      </x:c>
      <x:c r="L40" s="26" t="n">
        <x:f>C40-B40</x:f>
        <x:v>8.900000000000006</x:v>
      </x:c>
    </x:row>
    <x:row r="41">
      <x:c r="A41" s="24" t="str">
        <x:v>选修二班_B10</x:v>
      </x:c>
      <x:c r="B41" s="25" t="str">
        <x:v>78.7</x:v>
      </x:c>
      <x:c r="C41" s="25" t="str">
        <x:v>87.8</x:v>
      </x:c>
      <x:c r="D41" s="25" t="str">
        <x:v>87.0</x:v>
      </x:c>
      <x:c r="E41" s="25" t="str">
        <x:v>85.4</x:v>
      </x:c>
      <x:c r="F41" s="25" t="str">
        <x:v>92.3</x:v>
      </x:c>
      <x:c r="G41" s="25" t="str">
        <x:v>89.5</x:v>
      </x:c>
      <x:c r="H41" s="25" t="str">
        <x:v>92.3</x:v>
      </x:c>
      <x:c r="I41" s="25" t="str">
        <x:v>84.6</x:v>
      </x:c>
      <x:c r="J41" s="25" t="str">
        <x:v>88.6</x:v>
      </x:c>
      <x:c r="K41" s="24" t="str">
        <x:v>real</x:v>
      </x:c>
      <x:c r="L41" s="26" t="n">
        <x:f>C41-B41</x:f>
        <x:v>9.099999999999994</x:v>
      </x:c>
    </x:row>
    <x:row r="42">
      <x:c r="A42" s="24" t="str">
        <x:v>选修二班_B11</x:v>
      </x:c>
      <x:c r="B42" s="25" t="str">
        <x:v>66.3</x:v>
      </x:c>
      <x:c r="C42" s="25" t="str">
        <x:v>82.8</x:v>
      </x:c>
      <x:c r="D42" s="25" t="str">
        <x:v>83.8</x:v>
      </x:c>
      <x:c r="E42" s="25" t="str">
        <x:v>85.6</x:v>
      </x:c>
      <x:c r="F42" s="25" t="str">
        <x:v>82.8</x:v>
      </x:c>
      <x:c r="G42" s="25" t="str">
        <x:v>82.2</x:v>
      </x:c>
      <x:c r="H42" s="25" t="str">
        <x:v>87.5</x:v>
      </x:c>
      <x:c r="I42" s="25" t="str">
        <x:v>84.3</x:v>
      </x:c>
      <x:c r="J42" s="25" t="str">
        <x:v>85.3</x:v>
      </x:c>
      <x:c r="K42" s="24" t="str">
        <x:v>real</x:v>
      </x:c>
      <x:c r="L42" s="26" t="n">
        <x:f>C42-B42</x:f>
        <x:v>16.5</x:v>
      </x:c>
    </x:row>
    <x:row r="43">
      <x:c r="A43" s="24" t="str">
        <x:v>选修二班_B12</x:v>
      </x:c>
      <x:c r="B43" s="25" t="str">
        <x:v>63.4</x:v>
      </x:c>
      <x:c r="C43" s="25" t="str">
        <x:v>78.6</x:v>
      </x:c>
      <x:c r="D43" s="25" t="str">
        <x:v>79.5</x:v>
      </x:c>
      <x:c r="E43" s="25" t="str">
        <x:v>79.8</x:v>
      </x:c>
      <x:c r="F43" s="25" t="str">
        <x:v>81.0</x:v>
      </x:c>
      <x:c r="G43" s="25" t="str">
        <x:v>75.1</x:v>
      </x:c>
      <x:c r="H43" s="25" t="str">
        <x:v>81.7</x:v>
      </x:c>
      <x:c r="I43" s="25" t="str">
        <x:v>75.3</x:v>
      </x:c>
      <x:c r="J43" s="25" t="str">
        <x:v>81.5</x:v>
      </x:c>
      <x:c r="K43" s="24" t="str">
        <x:v>real</x:v>
      </x:c>
      <x:c r="L43" s="26" t="n">
        <x:f>C43-B43</x:f>
        <x:v>15.199999999999996</x:v>
      </x:c>
    </x:row>
    <x:row r="44">
      <x:c r="A44" s="24" t="str">
        <x:v>选修二班_B13</x:v>
      </x:c>
      <x:c r="B44" s="25" t="str">
        <x:v>77.5</x:v>
      </x:c>
      <x:c r="C44" s="25" t="str">
        <x:v>87.7</x:v>
      </x:c>
      <x:c r="D44" s="25" t="str">
        <x:v>87.2</x:v>
      </x:c>
      <x:c r="E44" s="25" t="str">
        <x:v>85.2</x:v>
      </x:c>
      <x:c r="F44" s="25" t="str">
        <x:v>91.7</x:v>
      </x:c>
      <x:c r="G44" s="25" t="str">
        <x:v>91.0</x:v>
      </x:c>
      <x:c r="H44" s="25" t="str">
        <x:v>94.6</x:v>
      </x:c>
      <x:c r="I44" s="25" t="str">
        <x:v>88.7</x:v>
      </x:c>
      <x:c r="J44" s="25" t="str">
        <x:v>90.0</x:v>
      </x:c>
      <x:c r="K44" s="24" t="str">
        <x:v>real</x:v>
      </x:c>
      <x:c r="L44" s="26" t="n">
        <x:f>C44-B44</x:f>
        <x:v>10.200000000000003</x:v>
      </x:c>
    </x:row>
    <x:row r="45">
      <x:c r="A45" s="24" t="str">
        <x:v>选修二班_B14</x:v>
      </x:c>
      <x:c r="B45" s="25" t="str">
        <x:v>73.6</x:v>
      </x:c>
      <x:c r="C45" s="25" t="str">
        <x:v>87.7</x:v>
      </x:c>
      <x:c r="D45" s="25" t="str">
        <x:v>84.0</x:v>
      </x:c>
      <x:c r="E45" s="25" t="str">
        <x:v>89.7</x:v>
      </x:c>
      <x:c r="F45" s="25" t="str">
        <x:v>87.4</x:v>
      </x:c>
      <x:c r="G45" s="25" t="str">
        <x:v>90.0</x:v>
      </x:c>
      <x:c r="H45" s="25" t="str">
        <x:v>94.5</x:v>
      </x:c>
      <x:c r="I45" s="25" t="str">
        <x:v>82.2</x:v>
      </x:c>
      <x:c r="J45" s="25" t="str">
        <x:v>92.5</x:v>
      </x:c>
      <x:c r="K45" s="24" t="str">
        <x:v>real</x:v>
      </x:c>
      <x:c r="L45" s="26" t="n">
        <x:f>C45-B45</x:f>
        <x:v>14.100000000000009</x:v>
      </x:c>
    </x:row>
    <x:row r="46">
      <x:c r="A46" s="24" t="str">
        <x:v>选修二班_B15</x:v>
      </x:c>
      <x:c r="B46" s="25" t="str">
        <x:v>78.5</x:v>
      </x:c>
      <x:c r="C46" s="25" t="str">
        <x:v>89.9</x:v>
      </x:c>
      <x:c r="D46" s="25" t="str">
        <x:v>89.0</x:v>
      </x:c>
      <x:c r="E46" s="25" t="str">
        <x:v>92.6</x:v>
      </x:c>
      <x:c r="F46" s="25" t="str">
        <x:v>94.9</x:v>
      </x:c>
      <x:c r="G46" s="25" t="str">
        <x:v>88.4</x:v>
      </x:c>
      <x:c r="H46" s="25" t="str">
        <x:v>91.7</x:v>
      </x:c>
      <x:c r="I46" s="25" t="str">
        <x:v>86.2</x:v>
      </x:c>
      <x:c r="J46" s="25" t="str">
        <x:v>89.4</x:v>
      </x:c>
      <x:c r="K46" s="24" t="str">
        <x:v>real</x:v>
      </x:c>
      <x:c r="L46" s="26" t="n">
        <x:f>C46-B46</x:f>
        <x:v>11.400000000000006</x:v>
      </x:c>
    </x:row>
    <x:row r="47">
      <x:c r="A47" s="24" t="str">
        <x:v>选修二班_B16</x:v>
      </x:c>
      <x:c r="B47" s="25" t="str">
        <x:v>66.9</x:v>
      </x:c>
      <x:c r="C47" s="25" t="str">
        <x:v>83.3</x:v>
      </x:c>
      <x:c r="D47" s="25" t="str">
        <x:v>85.0</x:v>
      </x:c>
      <x:c r="E47" s="25" t="str">
        <x:v>84.8</x:v>
      </x:c>
      <x:c r="F47" s="25" t="str">
        <x:v>87.9</x:v>
      </x:c>
      <x:c r="G47" s="25" t="str">
        <x:v>79.9</x:v>
      </x:c>
      <x:c r="H47" s="25" t="str">
        <x:v>88.2</x:v>
      </x:c>
      <x:c r="I47" s="25" t="str">
        <x:v>84.3</x:v>
      </x:c>
      <x:c r="J47" s="25" t="str">
        <x:v>85.4</x:v>
      </x:c>
      <x:c r="K47" s="24" t="str">
        <x:v>real</x:v>
      </x:c>
      <x:c r="L47" s="26" t="n">
        <x:f>C47-B47</x:f>
        <x:v>16.39999999999999</x:v>
      </x:c>
    </x:row>
    <x:row r="48">
      <x:c r="A48" s="24" t="str">
        <x:v>选修二班_B17</x:v>
      </x:c>
      <x:c r="B48" s="25" t="str">
        <x:v>67.2</x:v>
      </x:c>
      <x:c r="C48" s="25" t="str">
        <x:v>82.0</x:v>
      </x:c>
      <x:c r="D48" s="25" t="str">
        <x:v>81.9</x:v>
      </x:c>
      <x:c r="E48" s="25" t="str">
        <x:v>85.0</x:v>
      </x:c>
      <x:c r="F48" s="25" t="str">
        <x:v>82.1</x:v>
      </x:c>
      <x:c r="G48" s="25" t="str">
        <x:v>84.7</x:v>
      </x:c>
      <x:c r="H48" s="25" t="str">
        <x:v>83.9</x:v>
      </x:c>
      <x:c r="I48" s="25" t="str">
        <x:v>81.9</x:v>
      </x:c>
      <x:c r="J48" s="25" t="str">
        <x:v>85.9</x:v>
      </x:c>
      <x:c r="K48" s="24" t="str">
        <x:v>real</x:v>
      </x:c>
      <x:c r="L48" s="26" t="n">
        <x:f>C48-B48</x:f>
        <x:v>14.799999999999997</x:v>
      </x:c>
    </x:row>
    <x:row r="49">
      <x:c r="A49" s="24" t="str">
        <x:v>选修二班_B18</x:v>
      </x:c>
      <x:c r="B49" s="25" t="str">
        <x:v>67.4</x:v>
      </x:c>
      <x:c r="C49" s="25" t="str">
        <x:v>79.7</x:v>
      </x:c>
      <x:c r="D49" s="25" t="str">
        <x:v>80.4</x:v>
      </x:c>
      <x:c r="E49" s="25" t="str">
        <x:v>83.1</x:v>
      </x:c>
      <x:c r="F49" s="25" t="str">
        <x:v>80.3</x:v>
      </x:c>
      <x:c r="G49" s="25" t="str">
        <x:v>78.4</x:v>
      </x:c>
      <x:c r="H49" s="25" t="str">
        <x:v>84.2</x:v>
      </x:c>
      <x:c r="I49" s="25" t="str">
        <x:v>77.0</x:v>
      </x:c>
      <x:c r="J49" s="25" t="str">
        <x:v>81.0</x:v>
      </x:c>
      <x:c r="K49" s="24" t="str">
        <x:v>real</x:v>
      </x:c>
      <x:c r="L49" s="26" t="n">
        <x:f>C49-B49</x:f>
        <x:v>12.299999999999997</x:v>
      </x:c>
    </x:row>
    <x:row r="50">
      <x:c r="A50" s="24" t="str">
        <x:v>选修二班_B19</x:v>
      </x:c>
      <x:c r="B50" s="25" t="str">
        <x:v>65.3</x:v>
      </x:c>
      <x:c r="C50" s="25" t="str">
        <x:v>74.9</x:v>
      </x:c>
      <x:c r="D50" s="25" t="str">
        <x:v>73.8</x:v>
      </x:c>
      <x:c r="E50" s="25" t="str">
        <x:v>78.6</x:v>
      </x:c>
      <x:c r="F50" s="25" t="str">
        <x:v>79.0</x:v>
      </x:c>
      <x:c r="G50" s="25" t="str">
        <x:v>72.1</x:v>
      </x:c>
      <x:c r="H50" s="25" t="str">
        <x:v>76.5</x:v>
      </x:c>
      <x:c r="I50" s="25" t="str">
        <x:v>74.4</x:v>
      </x:c>
      <x:c r="J50" s="25" t="str">
        <x:v>78.3</x:v>
      </x:c>
      <x:c r="K50" s="24" t="str">
        <x:v>real</x:v>
      </x:c>
      <x:c r="L50" s="26" t="n">
        <x:f>C50-B50</x:f>
        <x:v>9.600000000000009</x:v>
      </x:c>
    </x:row>
    <x:row r="51">
      <x:c r="A51" s="24" t="str">
        <x:v>选修二班_B20</x:v>
      </x:c>
      <x:c r="B51" s="25" t="str">
        <x:v>70.8</x:v>
      </x:c>
      <x:c r="C51" s="25" t="str">
        <x:v>85.4</x:v>
      </x:c>
      <x:c r="D51" s="25" t="str">
        <x:v>87.6</x:v>
      </x:c>
      <x:c r="E51" s="25" t="str">
        <x:v>88.4</x:v>
      </x:c>
      <x:c r="F51" s="25" t="str">
        <x:v>87.7</x:v>
      </x:c>
      <x:c r="G51" s="25" t="str">
        <x:v>88.8</x:v>
      </x:c>
      <x:c r="H51" s="25" t="str">
        <x:v>87.8</x:v>
      </x:c>
      <x:c r="I51" s="25" t="str">
        <x:v>86.4</x:v>
      </x:c>
      <x:c r="J51" s="25" t="str">
        <x:v>86.1</x:v>
      </x:c>
      <x:c r="K51" s="24" t="str">
        <x:v>real</x:v>
      </x:c>
      <x:c r="L51" s="26" t="n">
        <x:f>C51-B51</x:f>
        <x:v>14.600000000000009</x:v>
      </x:c>
    </x:row>
    <x:row r="52">
      <x:c r="A52" s="24" t="str">
        <x:v>选修二班_B21</x:v>
      </x:c>
      <x:c r="B52" s="25" t="str">
        <x:v>56.8</x:v>
      </x:c>
      <x:c r="C52" s="25" t="str">
        <x:v>65.1</x:v>
      </x:c>
      <x:c r="D52" s="25" t="str">
        <x:v>60.6</x:v>
      </x:c>
      <x:c r="E52" s="25" t="str">
        <x:v>64.7</x:v>
      </x:c>
      <x:c r="F52" s="25" t="str">
        <x:v>65.9</x:v>
      </x:c>
      <x:c r="G52" s="25" t="str">
        <x:v>64.8</x:v>
      </x:c>
      <x:c r="H52" s="25" t="str">
        <x:v>71.2</x:v>
      </x:c>
      <x:c r="I52" s="25" t="str">
        <x:v>62.5</x:v>
      </x:c>
      <x:c r="J52" s="25" t="str">
        <x:v>65.7</x:v>
      </x:c>
      <x:c r="K52" s="24" t="str">
        <x:v>real</x:v>
      </x:c>
      <x:c r="L52" s="26" t="n">
        <x:f>C52-B52</x:f>
        <x:v>8.299999999999997</x:v>
      </x:c>
    </x:row>
    <x:row r="53">
      <x:c r="A53" s="24" t="str">
        <x:v>选修二班_B22</x:v>
      </x:c>
      <x:c r="B53" s="25" t="str">
        <x:v>56.3</x:v>
      </x:c>
      <x:c r="C53" s="25" t="str">
        <x:v>69.2</x:v>
      </x:c>
      <x:c r="D53" s="25" t="str">
        <x:v>66.9</x:v>
      </x:c>
      <x:c r="E53" s="25" t="str">
        <x:v>73.3</x:v>
      </x:c>
      <x:c r="F53" s="25" t="str">
        <x:v>69.3</x:v>
      </x:c>
      <x:c r="G53" s="25" t="str">
        <x:v>68.0</x:v>
      </x:c>
      <x:c r="H53" s="25" t="str">
        <x:v>74.2</x:v>
      </x:c>
      <x:c r="I53" s="25" t="str">
        <x:v>69.0</x:v>
      </x:c>
      <x:c r="J53" s="25" t="str">
        <x:v>71.1</x:v>
      </x:c>
      <x:c r="K53" s="24" t="str">
        <x:v>real</x:v>
      </x:c>
      <x:c r="L53" s="26" t="n">
        <x:f>C53-B53</x:f>
        <x:v>12.900000000000006</x:v>
      </x:c>
    </x:row>
    <x:row r="54">
      <x:c r="A54" s="24" t="str">
        <x:v>选修二班_B23</x:v>
      </x:c>
      <x:c r="B54" s="25" t="str">
        <x:v>63.9</x:v>
      </x:c>
      <x:c r="C54" s="25" t="str">
        <x:v>74.0</x:v>
      </x:c>
      <x:c r="D54" s="25" t="str">
        <x:v>74.5</x:v>
      </x:c>
      <x:c r="E54" s="25" t="str">
        <x:v>73.4</x:v>
      </x:c>
      <x:c r="F54" s="25" t="str">
        <x:v>78.4</x:v>
      </x:c>
      <x:c r="G54" s="25" t="str">
        <x:v>71.9</x:v>
      </x:c>
      <x:c r="H54" s="25" t="str">
        <x:v>79.4</x:v>
      </x:c>
      <x:c r="I54" s="25" t="str">
        <x:v>73.9</x:v>
      </x:c>
      <x:c r="J54" s="25" t="str">
        <x:v>74.2</x:v>
      </x:c>
      <x:c r="K54" s="24" t="str">
        <x:v>real</x:v>
      </x:c>
      <x:c r="L54" s="26" t="n">
        <x:f>C54-B54</x:f>
        <x:v>10.100000000000001</x:v>
      </x:c>
    </x:row>
    <x:row r="55">
      <x:c r="A55" s="24" t="str">
        <x:v>选修二班_B24</x:v>
      </x:c>
      <x:c r="B55" s="25" t="str">
        <x:v>61.5</x:v>
      </x:c>
      <x:c r="C55" s="25" t="str">
        <x:v>71.9</x:v>
      </x:c>
      <x:c r="D55" s="25" t="str">
        <x:v>74.2</x:v>
      </x:c>
      <x:c r="E55" s="25" t="str">
        <x:v>73.6</x:v>
      </x:c>
      <x:c r="F55" s="25" t="str">
        <x:v>75.8</x:v>
      </x:c>
      <x:c r="G55" s="25" t="str">
        <x:v>69.7</x:v>
      </x:c>
      <x:c r="H55" s="25" t="str">
        <x:v>76.1</x:v>
      </x:c>
      <x:c r="I55" s="25" t="str">
        <x:v>67.5</x:v>
      </x:c>
      <x:c r="J55" s="25" t="str">
        <x:v>70.8</x:v>
      </x:c>
      <x:c r="K55" s="24" t="str">
        <x:v>real</x:v>
      </x:c>
      <x:c r="L55" s="26" t="n">
        <x:f>C55-B55</x:f>
        <x:v>10.400000000000006</x:v>
      </x:c>
    </x:row>
    <x:row r="56">
      <x:c r="A56" s="24" t="str">
        <x:v>选修二班_B25</x:v>
      </x:c>
      <x:c r="B56" s="25" t="str">
        <x:v>75.5</x:v>
      </x:c>
      <x:c r="C56" s="25" t="str">
        <x:v>83.7</x:v>
      </x:c>
      <x:c r="D56" s="25" t="str">
        <x:v>85.7</x:v>
      </x:c>
      <x:c r="E56" s="25" t="str">
        <x:v>85.6</x:v>
      </x:c>
      <x:c r="F56" s="25" t="str">
        <x:v>84.2</x:v>
      </x:c>
      <x:c r="G56" s="25" t="str">
        <x:v>85.0</x:v>
      </x:c>
      <x:c r="H56" s="25" t="str">
        <x:v>89.1</x:v>
      </x:c>
      <x:c r="I56" s="25" t="str">
        <x:v>84.8</x:v>
      </x:c>
      <x:c r="J56" s="25" t="str">
        <x:v>88.5</x:v>
      </x:c>
      <x:c r="K56" s="24" t="str">
        <x:v>real</x:v>
      </x:c>
      <x:c r="L56" s="26" t="n">
        <x:f>C56-B56</x:f>
        <x:v>8.200000000000003</x:v>
      </x:c>
    </x:row>
    <x:row r="57">
      <x:c r="A57" s="24" t="str">
        <x:v>选修二班_B26</x:v>
      </x:c>
      <x:c r="B57" s="25" t="str">
        <x:v>57.1</x:v>
      </x:c>
      <x:c r="C57" s="25" t="str">
        <x:v>66.4</x:v>
      </x:c>
      <x:c r="D57" s="25" t="str">
        <x:v>68.7</x:v>
      </x:c>
      <x:c r="E57" s="25" t="str">
        <x:v>65.2</x:v>
      </x:c>
      <x:c r="F57" s="25" t="str">
        <x:v>71.7</x:v>
      </x:c>
      <x:c r="G57" s="25" t="str">
        <x:v>67.5</x:v>
      </x:c>
      <x:c r="H57" s="25" t="str">
        <x:v>68.2</x:v>
      </x:c>
      <x:c r="I57" s="25" t="str">
        <x:v>67.1</x:v>
      </x:c>
      <x:c r="J57" s="25" t="str">
        <x:v>64.4</x:v>
      </x:c>
      <x:c r="K57" s="24" t="str">
        <x:v>real</x:v>
      </x:c>
      <x:c r="L57" s="26" t="n">
        <x:f>C57-B57</x:f>
        <x:v>9.300000000000004</x:v>
      </x:c>
    </x:row>
    <x:row r="58">
      <x:c r="A58" s="24" t="str">
        <x:v>选修二班_B27</x:v>
      </x:c>
      <x:c r="B58" s="25" t="str">
        <x:v>68.0</x:v>
      </x:c>
      <x:c r="C58" s="25" t="str">
        <x:v>81.4</x:v>
      </x:c>
      <x:c r="D58" s="25" t="str">
        <x:v>79.1</x:v>
      </x:c>
      <x:c r="E58" s="25" t="str">
        <x:v>81.8</x:v>
      </x:c>
      <x:c r="F58" s="25" t="str">
        <x:v>80.0</x:v>
      </x:c>
      <x:c r="G58" s="25" t="str">
        <x:v>83.1</x:v>
      </x:c>
      <x:c r="H58" s="25" t="str">
        <x:v>86.5</x:v>
      </x:c>
      <x:c r="I58" s="25" t="str">
        <x:v>82.7</x:v>
      </x:c>
      <x:c r="J58" s="25" t="str">
        <x:v>83.4</x:v>
      </x:c>
      <x:c r="K58" s="24" t="str">
        <x:v>real</x:v>
      </x:c>
      <x:c r="L58" s="26" t="n">
        <x:f>C58-B58</x:f>
        <x:v>13.400000000000006</x:v>
      </x:c>
    </x:row>
    <x:row r="59">
      <x:c r="A59" s="24" t="str">
        <x:v>选修二班_B28</x:v>
      </x:c>
      <x:c r="B59" s="25" t="str">
        <x:v>58.5</x:v>
      </x:c>
      <x:c r="C59" s="25" t="str">
        <x:v>73.0</x:v>
      </x:c>
      <x:c r="D59" s="25" t="str">
        <x:v>74.1</x:v>
      </x:c>
      <x:c r="E59" s="25" t="str">
        <x:v>74.3</x:v>
      </x:c>
      <x:c r="F59" s="25" t="str">
        <x:v>75.4</x:v>
      </x:c>
      <x:c r="G59" s="25" t="str">
        <x:v>74.6</x:v>
      </x:c>
      <x:c r="H59" s="25" t="str">
        <x:v>76.9</x:v>
      </x:c>
      <x:c r="I59" s="25" t="str">
        <x:v>70.2</x:v>
      </x:c>
      <x:c r="J59" s="25" t="str">
        <x:v>71.8</x:v>
      </x:c>
      <x:c r="K59" s="24" t="str">
        <x:v>real</x:v>
      </x:c>
      <x:c r="L59" s="26" t="n">
        <x:f>C59-B59</x:f>
        <x:v>14.5</x:v>
      </x:c>
    </x:row>
    <x:row r="60">
      <x:c r="A60" s="24" t="str">
        <x:v>选修二班_B29</x:v>
      </x:c>
      <x:c r="B60" s="25" t="str">
        <x:v>59.4</x:v>
      </x:c>
      <x:c r="C60" s="25" t="str">
        <x:v>72.0</x:v>
      </x:c>
      <x:c r="D60" s="25" t="str">
        <x:v>71.0</x:v>
      </x:c>
      <x:c r="E60" s="25" t="str">
        <x:v>73.2</x:v>
      </x:c>
      <x:c r="F60" s="25" t="str">
        <x:v>70.6</x:v>
      </x:c>
      <x:c r="G60" s="25" t="str">
        <x:v>74.5</x:v>
      </x:c>
      <x:c r="H60" s="25" t="str">
        <x:v>73.7</x:v>
      </x:c>
      <x:c r="I60" s="25" t="str">
        <x:v>70.9</x:v>
      </x:c>
      <x:c r="J60" s="25" t="str">
        <x:v>71.3</x:v>
      </x:c>
      <x:c r="K60" s="24" t="str">
        <x:v>real</x:v>
      </x:c>
      <x:c r="L60" s="26" t="n">
        <x:f>C60-B60</x:f>
        <x:v>12.600000000000001</x:v>
      </x:c>
    </x:row>
    <x:row r="61">
      <x:c r="A61" s="27" t="str">
        <x:v>选修二班_B30</x:v>
      </x:c>
      <x:c r="B61" s="28" t="str">
        <x:v>64.5</x:v>
      </x:c>
      <x:c r="C61" s="28" t="str">
        <x:v>77.1</x:v>
      </x:c>
      <x:c r="D61" s="28" t="str">
        <x:v>76.1</x:v>
      </x:c>
      <x:c r="E61" s="28" t="str">
        <x:v>76.5</x:v>
      </x:c>
      <x:c r="F61" s="28" t="str">
        <x:v>75.8</x:v>
      </x:c>
      <x:c r="G61" s="28" t="str">
        <x:v>74.2</x:v>
      </x:c>
      <x:c r="H61" s="28" t="str">
        <x:v>78.1</x:v>
      </x:c>
      <x:c r="I61" s="28" t="str">
        <x:v>78.2</x:v>
      </x:c>
      <x:c r="J61" s="28" t="str">
        <x:v>77.3</x:v>
      </x:c>
      <x:c r="K61" s="27" t="str">
        <x:v>real</x:v>
      </x:c>
      <x:c r="L61" s="29" t="n">
        <x:f>C61-B61</x:f>
        <x:v>12.599999999999994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68" hidden="0" customWidth="1"/>
  </x:cols>
  <x:sheetData>
    <x:row r="1">
      <x:c r="A1" s="44" t="str">
        <x:v>FreeCAD校本课程真实测评数据说明</x:v>
      </x:c>
      <x:c r="B1" s="44"/>
      <x:c r="C1" s="44"/>
      <x:c r="D1" s="44"/>
      <x:c r="E1" s="44"/>
      <x:c r="F1" s="44"/>
      <x:c r="G1" s="44"/>
      <x:c r="H1" s="44"/>
    </x:row>
    <x:row r="2">
      <x:c r="A2" s="44"/>
      <x:c r="B2" s="44"/>
      <x:c r="C2" s="44"/>
      <x:c r="D2" s="44"/>
      <x:c r="E2" s="44"/>
      <x:c r="F2" s="44"/>
      <x:c r="G2" s="44"/>
      <x:c r="H2" s="44"/>
    </x:row>
    <x:row r="4" ht="30" customHeight="1">
      <x:c r="A4" s="64" t="str">
        <x:v>项目</x:v>
      </x:c>
      <x:c r="B4" s="64" t="str">
        <x:v>说明</x:v>
      </x:c>
    </x:row>
    <x:row r="5" ht="30" customHeight="1">
      <x:c r="A5" s="65" t="str">
        <x:v>课题编号</x:v>
      </x:c>
      <x:c r="B5" s="66" t="str">
        <x:v>2024B-178</x:v>
      </x:c>
    </x:row>
    <x:row r="6" ht="30" customHeight="1">
      <x:c r="A6" s="65" t="str">
        <x:v>样本量</x:v>
      </x:c>
      <x:c r="B6" s="66" t="str">
        <x:v>60人</x:v>
      </x:c>
    </x:row>
    <x:row r="7" ht="30" customHeight="1">
      <x:c r="A7" s="65" t="str">
        <x:v>班级结构</x:v>
      </x:c>
      <x:c r="B7" s="66" t="str">
        <x:v>选修一班30人（A01-A30）；选修二班30人（B01-B30）</x:v>
      </x:c>
    </x:row>
    <x:row r="8" ht="30" customHeight="1">
      <x:c r="A8" s="65" t="str">
        <x:v>数据性质</x:v>
      </x:c>
      <x:c r="B8" s="66" t="str">
        <x:v>用户确认的真实测评数据；source字段均为real</x:v>
      </x:c>
    </x:row>
    <x:row r="9" ht="30" customHeight="1">
      <x:c r="A9" s="65" t="str">
        <x:v>测评字段</x:v>
      </x:c>
      <x:c r="B9" s="66" t="str">
        <x:v>前测、后测、六维能力评分、项目作品评分</x:v>
      </x:c>
    </x:row>
    <x:row r="10" ht="30" customHeight="1">
      <x:c r="A10" s="65" t="str">
        <x:v>匿名原则</x:v>
      </x:c>
      <x:c r="B10" s="66" t="str">
        <x:v>公开材料只使用匿名编号，姓名对应表由学校单独保管</x:v>
      </x:c>
    </x:row>
    <x:row r="11" ht="30" customHeight="1">
      <x:c r="A11" s="65" t="str">
        <x:v>总体分析</x:v>
      </x:c>
      <x:c r="B11" s="66" t="str">
        <x:v>60人总体描述性统计，并分别呈现两个班级</x:v>
      </x:c>
    </x:row>
    <x:row r="12" ht="30" customHeight="1">
      <x:c r="A12" s="65" t="str">
        <x:v>使用限制</x:v>
      </x:c>
      <x:c r="B12" s="66" t="str">
        <x:v>报告结论应结合课堂观察、访谈和作品档案进行综合解释</x:v>
      </x:c>
    </x:row>
  </x:sheetData>
  <x:mergeCells>
    <x:mergeCell ref="A1:H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7" max="7" width="22" hidden="0" customWidth="1"/>
    <x:col min="8" max="8" width="16" hidden="0" customWidth="1"/>
  </x:cols>
  <x:sheetData>
    <x:row r="1">
      <x:c r="A1" s="44" t="str">
        <x:v>真实测评数据统计分析（60人）</x:v>
      </x:c>
      <x:c r="B1" s="44"/>
      <x:c r="C1" s="44"/>
      <x:c r="D1" s="44"/>
      <x:c r="E1" s="44"/>
      <x:c r="F1" s="44"/>
      <x:c r="G1" s="44"/>
      <x:c r="H1" s="44"/>
    </x:row>
    <x:row r="2">
      <x:c r="A2" s="44"/>
      <x:c r="B2" s="44"/>
      <x:c r="C2" s="44"/>
      <x:c r="D2" s="44"/>
      <x:c r="E2" s="44"/>
      <x:c r="F2" s="44"/>
      <x:c r="G2" s="44"/>
      <x:c r="H2" s="44"/>
    </x:row>
    <x:row r="4">
      <x:c r="A4" s="72" t="str">
        <x:v>范围</x:v>
      </x:c>
      <x:c r="B4" s="72" t="str">
        <x:v>样本量</x:v>
      </x:c>
      <x:c r="C4" s="72" t="str">
        <x:v>前测均值</x:v>
      </x:c>
      <x:c r="D4" s="72" t="str">
        <x:v>后测均值</x:v>
      </x:c>
      <x:c r="E4" s="72" t="str">
        <x:v>平均提升</x:v>
      </x:c>
      <x:c r="F4" s="2"/>
      <x:c r="G4" s="72" t="str">
        <x:v>补充指标</x:v>
      </x:c>
      <x:c r="H4" s="72" t="str">
        <x:v>结果</x:v>
      </x:c>
    </x:row>
    <x:row r="5">
      <x:c r="A5" s="83" t="str">
        <x:v>总体</x:v>
      </x:c>
      <x:c r="B5" s="84" t="n">
        <x:f>COUNTA('原始数据'!$A$2:$A$61)</x:f>
        <x:v>60</x:v>
      </x:c>
      <x:c r="C5" s="84" t="n">
        <x:f>AVERAGE('原始数据'!$B$2:$B$61)</x:f>
        <x:v>67.67666666666668</x:v>
      </x:c>
      <x:c r="D5" s="84" t="n">
        <x:f>AVERAGE('原始数据'!$C$2:$C$61)</x:f>
        <x:v>80.09166666666664</x:v>
      </x:c>
      <x:c r="E5" s="84" t="n">
        <x:f>AVERAGE('原始数据'!$L$2:$L$61)</x:f>
        <x:v>12.415</x:v>
      </x:c>
      <x:c r="F5" s="2"/>
      <x:c r="G5" s="85" t="str">
        <x:v>全体前测最低分</x:v>
      </x:c>
      <x:c r="H5" s="84" t="n">
        <x:f>MIN('原始数据'!$B$2:$B$61)</x:f>
        <x:v>56.3</x:v>
      </x:c>
    </x:row>
    <x:row r="6">
      <x:c r="A6" s="83" t="str">
        <x:v>选修一班</x:v>
      </x:c>
      <x:c r="B6" s="84" t="n">
        <x:f>COUNTA('原始数据'!$A$2:$A$31)</x:f>
        <x:v>30</x:v>
      </x:c>
      <x:c r="C6" s="84" t="n">
        <x:f>AVERAGE('原始数据'!$B$2:$B$31)</x:f>
        <x:v>67.83333333333333</x:v>
      </x:c>
      <x:c r="D6" s="84" t="n">
        <x:f>AVERAGE('原始数据'!$C$2:$C$31)</x:f>
        <x:v>80.75666666666665</x:v>
      </x:c>
      <x:c r="E6" s="84" t="n">
        <x:f>AVERAGE('原始数据'!$L$2:$L$31)</x:f>
        <x:v>12.92333333333333</x:v>
      </x:c>
      <x:c r="F6" s="2"/>
      <x:c r="G6" s="85" t="str">
        <x:v>全体前测最高分</x:v>
      </x:c>
      <x:c r="H6" s="84" t="n">
        <x:f>MAX('原始数据'!$B$2:$B$61)</x:f>
        <x:v>80.4</x:v>
      </x:c>
    </x:row>
    <x:row r="7">
      <x:c r="A7" s="83" t="str">
        <x:v>选修二班</x:v>
      </x:c>
      <x:c r="B7" s="84" t="n">
        <x:f>COUNTA('原始数据'!$A$32:$A$61)</x:f>
        <x:v>30</x:v>
      </x:c>
      <x:c r="C7" s="84" t="n">
        <x:f>AVERAGE('原始数据'!$B$32:$B$61)</x:f>
        <x:v>67.52000000000001</x:v>
      </x:c>
      <x:c r="D7" s="84" t="n">
        <x:f>AVERAGE('原始数据'!$C$32:$C$61)</x:f>
        <x:v>79.42666666666668</x:v>
      </x:c>
      <x:c r="E7" s="84" t="n">
        <x:f>AVERAGE('原始数据'!$L$32:$L$61)</x:f>
        <x:v>11.906666666666672</x:v>
      </x:c>
      <x:c r="F7" s="2"/>
      <x:c r="G7" s="85" t="str">
        <x:v>全体后测最低分</x:v>
      </x:c>
      <x:c r="H7" s="84" t="n">
        <x:f>MIN('原始数据'!$C$2:$C$61)</x:f>
        <x:v>65.1</x:v>
      </x:c>
    </x:row>
    <x:row r="8">
      <x:c r="A8" s="2"/>
      <x:c r="B8" s="2"/>
      <x:c r="C8" s="2"/>
      <x:c r="D8" s="2"/>
      <x:c r="E8" s="2"/>
      <x:c r="F8" s="2"/>
      <x:c r="G8" s="85" t="str">
        <x:v>全体后测最高分</x:v>
      </x:c>
      <x:c r="H8" s="84" t="n">
        <x:f>MAX('原始数据'!$C$2:$C$61)</x:f>
        <x:v>96.4</x:v>
      </x:c>
    </x:row>
    <x:row r="9">
      <x:c r="A9" s="2"/>
      <x:c r="B9" s="2"/>
      <x:c r="C9" s="2"/>
      <x:c r="D9" s="2"/>
      <x:c r="E9" s="2"/>
      <x:c r="F9" s="2"/>
      <x:c r="G9" s="85" t="str">
        <x:v>提升人数</x:v>
      </x:c>
      <x:c r="H9" s="86" t="n">
        <x:f>COUNTIF('原始数据'!$L$2:$L$61,"&gt;0")</x:f>
        <x:v>60</x:v>
      </x:c>
    </x:row>
    <x:row r="10">
      <x:c r="A10" s="72" t="str">
        <x:v>维度</x:v>
      </x:c>
      <x:c r="B10" s="72" t="str">
        <x:v>总体均值</x:v>
      </x:c>
      <x:c r="C10" s="72" t="str">
        <x:v>选修一班</x:v>
      </x:c>
      <x:c r="D10" s="72" t="str">
        <x:v>选修二班</x:v>
      </x:c>
      <x:c r="E10" s="2"/>
      <x:c r="F10" s="2"/>
      <x:c r="G10" s="85" t="str">
        <x:v>提升10分及以上</x:v>
      </x:c>
      <x:c r="H10" s="86" t="n">
        <x:f>COUNTIF('原始数据'!$L$2:$L$61,"&gt;=10")</x:f>
        <x:v>44</x:v>
      </x:c>
    </x:row>
    <x:row r="11">
      <x:c r="A11" s="83" t="str">
        <x:v>空间想象</x:v>
      </x:c>
      <x:c r="B11" s="84" t="n">
        <x:f>AVERAGE('原始数据'!$D$2:$D$61)</x:f>
        <x:v>79.42666666666668</x:v>
      </x:c>
      <x:c r="C11" s="84" t="n">
        <x:f>AVERAGE('原始数据'!$D$2:$D$31)</x:f>
        <x:v>79.69</x:v>
      </x:c>
      <x:c r="D11" s="84" t="n">
        <x:f>AVERAGE('原始数据'!$D$32:$D$61)</x:f>
        <x:v>79.16333333333333</x:v>
      </x:c>
      <x:c r="E11" s="2"/>
      <x:c r="F11" s="2"/>
      <x:c r="G11" s="2"/>
      <x:c r="H11" s="2"/>
    </x:row>
    <x:row r="12">
      <x:c r="A12" s="83" t="str">
        <x:v>问题分解</x:v>
      </x:c>
      <x:c r="B12" s="84" t="n">
        <x:f>AVERAGE('原始数据'!$E$2:$E$61)</x:f>
        <x:v>81.23666666666666</x:v>
      </x:c>
      <x:c r="C12" s="84" t="n">
        <x:f>AVERAGE('原始数据'!$E$2:$E$31)</x:f>
        <x:v>81.70666666666666</x:v>
      </x:c>
      <x:c r="D12" s="84" t="n">
        <x:f>AVERAGE('原始数据'!$E$32:$E$61)</x:f>
        <x:v>80.76666666666665</x:v>
      </x:c>
      <x:c r="E12" s="2"/>
      <x:c r="F12" s="2"/>
      <x:c r="G12" s="2"/>
      <x:c r="H12" s="2"/>
    </x:row>
    <x:row r="13">
      <x:c r="A13" s="83" t="str">
        <x:v>参数化思维</x:v>
      </x:c>
      <x:c r="B13" s="84" t="n">
        <x:f>AVERAGE('原始数据'!$F$2:$F$61)</x:f>
        <x:v>82.13333333333335</x:v>
      </x:c>
      <x:c r="C13" s="84" t="n">
        <x:f>AVERAGE('原始数据'!$F$2:$F$31)</x:f>
        <x:v>82.82666666666667</x:v>
      </x:c>
      <x:c r="D13" s="84" t="n">
        <x:f>AVERAGE('原始数据'!$F$32:$F$61)</x:f>
        <x:v>81.44</x:v>
      </x:c>
      <x:c r="E13" s="2"/>
      <x:c r="F13" s="2"/>
      <x:c r="G13" s="2"/>
      <x:c r="H13" s="2"/>
    </x:row>
    <x:row r="14">
      <x:c r="A14" s="83" t="str">
        <x:v>调试迭代</x:v>
      </x:c>
      <x:c r="B14" s="84" t="n">
        <x:f>AVERAGE('原始数据'!$G$2:$G$61)</x:f>
        <x:v>80.21000000000001</x:v>
      </x:c>
      <x:c r="C14" s="84" t="n">
        <x:f>AVERAGE('原始数据'!$G$2:$G$31)</x:f>
        <x:v>80.95333333333333</x:v>
      </x:c>
      <x:c r="D14" s="84" t="n">
        <x:f>AVERAGE('原始数据'!$G$32:$G$61)</x:f>
        <x:v>79.46666666666667</x:v>
      </x:c>
      <x:c r="E14" s="2"/>
      <x:c r="F14" s="2"/>
      <x:c r="G14" s="2"/>
      <x:c r="H14" s="2"/>
    </x:row>
    <x:row r="15">
      <x:c r="A15" s="83" t="str">
        <x:v>工程实践</x:v>
      </x:c>
      <x:c r="B15" s="84" t="n">
        <x:f>AVERAGE('原始数据'!$H$2:$H$61)</x:f>
        <x:v>84.01666666666665</x:v>
      </x:c>
      <x:c r="C15" s="84" t="n">
        <x:f>AVERAGE('原始数据'!$H$2:$H$31)</x:f>
        <x:v>84.60666666666665</x:v>
      </x:c>
      <x:c r="D15" s="84" t="n">
        <x:f>AVERAGE('原始数据'!$H$32:$H$61)</x:f>
        <x:v>83.42666666666666</x:v>
      </x:c>
      <x:c r="E15" s="2"/>
      <x:c r="F15" s="2"/>
      <x:c r="G15" s="2"/>
      <x:c r="H15" s="2"/>
    </x:row>
    <x:row r="16">
      <x:c r="A16" s="83" t="str">
        <x:v>学习兴趣</x:v>
      </x:c>
      <x:c r="B16" s="84" t="n">
        <x:f>AVERAGE('原始数据'!$I$2:$I$61)</x:f>
        <x:v>78.27833333333332</x:v>
      </x:c>
      <x:c r="C16" s="84" t="n">
        <x:f>AVERAGE('原始数据'!$I$2:$I$31)</x:f>
        <x:v>78.52666666666666</x:v>
      </x:c>
      <x:c r="D16" s="84" t="n">
        <x:f>AVERAGE('原始数据'!$I$32:$I$61)</x:f>
        <x:v>78.03</x:v>
      </x:c>
      <x:c r="E16" s="2"/>
      <x:c r="F16" s="2"/>
      <x:c r="G16" s="2"/>
      <x:c r="H16" s="2"/>
    </x:row>
    <x:row r="17">
      <x:c r="A17" s="83" t="str">
        <x:v>项目作品</x:v>
      </x:c>
      <x:c r="B17" s="84" t="n">
        <x:f>AVERAGE('原始数据'!$J$2:$J$61)</x:f>
        <x:v>81.42</x:v>
      </x:c>
      <x:c r="C17" s="84" t="n">
        <x:f>AVERAGE('原始数据'!$J$2:$J$31)</x:f>
        <x:v>82.00999999999999</x:v>
      </x:c>
      <x:c r="D17" s="84" t="n">
        <x:f>AVERAGE('原始数据'!$J$32:$J$61)</x:f>
        <x:v>80.83000000000003</x:v>
      </x:c>
      <x:c r="E17" s="2"/>
      <x:c r="F17" s="2"/>
      <x:c r="G17" s="2"/>
      <x:c r="H17" s="2"/>
    </x:row>
    <x:row r="40">
      <x:c r="A40" t="str">
        <x:v>范围</x:v>
      </x:c>
      <x:c r="B40" t="str">
        <x:v>前测均值</x:v>
      </x:c>
      <x:c r="C40" t="str">
        <x:v>后测均值</x:v>
      </x:c>
    </x:row>
    <x:row r="41">
      <x:c r="A41" t="str">
        <x:v>总体</x:v>
      </x:c>
      <x:c r="B41" t="n">
        <x:f>C5</x:f>
        <x:v>67.67666666666668</x:v>
      </x:c>
      <x:c r="C41" t="n">
        <x:f>D5</x:f>
        <x:v>80.09166666666664</x:v>
      </x:c>
    </x:row>
    <x:row r="42">
      <x:c r="A42" t="str">
        <x:v>选修一班</x:v>
      </x:c>
      <x:c r="B42" t="n">
        <x:f>C6</x:f>
        <x:v>67.83333333333333</x:v>
      </x:c>
      <x:c r="C42" t="n">
        <x:f>D6</x:f>
        <x:v>80.75666666666665</x:v>
      </x:c>
    </x:row>
    <x:row r="43">
      <x:c r="A43" t="str">
        <x:v>选修二班</x:v>
      </x:c>
      <x:c r="B43" t="n">
        <x:f>C7</x:f>
        <x:v>67.52000000000001</x:v>
      </x:c>
      <x:c r="C43" t="n">
        <x:f>D7</x:f>
        <x:v>79.42666666666668</x:v>
      </x:c>
    </x:row>
  </x:sheetData>
  <x:mergeCells>
    <x:mergeCell ref="A1:H2"/>
  </x:mergeCells>
  <x:pageMargins left="0.7" right="0.7" top="0.75" bottom="0.75" header="0.3" footer="0.3"/>
  <x:drawing xmlns:r="http://schemas.openxmlformats.org/officeDocument/2006/relationships" r:id="Rd652e2b8c355455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</x:cols>
  <x:sheetData>
    <x:row r="1">
      <x:c r="A1" s="44" t="str">
        <x:v>FreeCAD校本课程真实测评结果摘要</x:v>
      </x:c>
      <x:c r="B1" s="44"/>
      <x:c r="C1" s="44"/>
      <x:c r="D1" s="44"/>
      <x:c r="E1" s="44"/>
      <x:c r="F1" s="44"/>
      <x:c r="G1" s="44"/>
      <x:c r="H1" s="44"/>
    </x:row>
    <x:row r="2">
      <x:c r="A2" s="44"/>
      <x:c r="B2" s="44"/>
      <x:c r="C2" s="44"/>
      <x:c r="D2" s="44"/>
      <x:c r="E2" s="44"/>
      <x:c r="F2" s="44"/>
      <x:c r="G2" s="44"/>
      <x:c r="H2" s="44"/>
    </x:row>
    <x:row r="4" ht="30" customHeight="1">
      <x:c r="A4" s="72" t="str">
        <x:v>指标</x:v>
      </x:c>
      <x:c r="B4" s="72" t="str">
        <x:v>结果</x:v>
      </x:c>
      <x:c r="C4" s="112"/>
      <x:c r="D4" s="72" t="str">
        <x:v>证据指标</x:v>
      </x:c>
      <x:c r="E4" s="72" t="str">
        <x:v>结果</x:v>
      </x:c>
    </x:row>
    <x:row r="5" ht="30" customHeight="1">
      <x:c r="A5" s="113" t="str">
        <x:v>样本量</x:v>
      </x:c>
      <x:c r="B5" s="114" t="n">
        <x:f>'统计分析'!B5</x:f>
        <x:v>60</x:v>
      </x:c>
      <x:c r="C5" s="112"/>
      <x:c r="D5" s="113" t="str">
        <x:v>提升人数</x:v>
      </x:c>
      <x:c r="E5" s="114" t="n">
        <x:f>'统计分析'!H9</x:f>
        <x:v>60</x:v>
      </x:c>
    </x:row>
    <x:row r="6" ht="30" customHeight="1">
      <x:c r="A6" s="113" t="str">
        <x:v>前测均值</x:v>
      </x:c>
      <x:c r="B6" s="115" t="n">
        <x:f>'统计分析'!C5</x:f>
        <x:v>67.67666666666668</x:v>
      </x:c>
      <x:c r="C6" s="112"/>
      <x:c r="D6" s="113" t="str">
        <x:v>提升10分及以上</x:v>
      </x:c>
      <x:c r="E6" s="114" t="n">
        <x:f>'统计分析'!H10</x:f>
        <x:v>44</x:v>
      </x:c>
    </x:row>
    <x:row r="7" ht="30" customHeight="1">
      <x:c r="A7" s="113" t="str">
        <x:v>后测均值</x:v>
      </x:c>
      <x:c r="B7" s="115" t="n">
        <x:f>'统计分析'!D5</x:f>
        <x:v>80.09166666666664</x:v>
      </x:c>
      <x:c r="C7" s="112"/>
      <x:c r="D7" s="113" t="str">
        <x:v>项目作品均值</x:v>
      </x:c>
      <x:c r="E7" s="115" t="n">
        <x:f>'统计分析'!B17</x:f>
        <x:v>81.42</x:v>
      </x:c>
    </x:row>
    <x:row r="8" ht="30" customHeight="1">
      <x:c r="A8" s="113" t="str">
        <x:v>平均提升</x:v>
      </x:c>
      <x:c r="B8" s="115" t="n">
        <x:f>'统计分析'!E5</x:f>
        <x:v>12.415</x:v>
      </x:c>
      <x:c r="C8" s="112"/>
      <x:c r="D8" s="113" t="str">
        <x:v>最高能力维度</x:v>
      </x:c>
      <x:c r="E8" s="114" t="str">
        <x:v>工程实践</x:v>
      </x:c>
    </x:row>
    <x:row r="11">
      <x:c r="A11" s="126" t="str">
        <x:v>结论边界：本表呈现60名学生的真实测评描述性结果。结论解释应同时结合课堂观察、研究课记录、学生访谈和作品档案，不以单一分数替代综合判断。</x:v>
      </x:c>
      <x:c r="B11" s="126"/>
      <x:c r="C11" s="126"/>
      <x:c r="D11" s="126"/>
      <x:c r="E11" s="126"/>
      <x:c r="F11" s="126"/>
      <x:c r="G11" s="126"/>
      <x:c r="H11" s="126"/>
    </x:row>
    <x:row r="12">
      <x:c r="A12" s="126"/>
      <x:c r="B12" s="126"/>
      <x:c r="C12" s="126"/>
      <x:c r="D12" s="126"/>
      <x:c r="E12" s="126"/>
      <x:c r="F12" s="126"/>
      <x:c r="G12" s="126"/>
      <x:c r="H12" s="126"/>
    </x:row>
    <x:row r="13">
      <x:c r="A13" s="126"/>
      <x:c r="B13" s="126"/>
      <x:c r="C13" s="126"/>
      <x:c r="D13" s="126"/>
      <x:c r="E13" s="126"/>
      <x:c r="F13" s="126"/>
      <x:c r="G13" s="126"/>
      <x:c r="H13" s="126"/>
    </x:row>
  </x:sheetData>
  <x:mergeCells>
    <x:mergeCell ref="A1:H2"/>
    <x:mergeCell ref="A11:H13"/>
  </x:mergeCells>
  <x:pageMargins left="0.7" right="0.7" top="0.75" bottom="0.75" header="0.3" footer="0.3"/>
</x:worksheet>
</file>